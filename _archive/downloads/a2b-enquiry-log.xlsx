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Enquiri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<sst xmlns="http://schemas.openxmlformats.org/spreadsheetml/2006/main" count="52" uniqueCount="45">
  <si>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 xml:space="preserve">Enquiry log</t>
  </si>
  <si>
    <t xml:space="preserve">A free template from A2B Guides. Not legal, tax or financial advice.</t>
  </si>
  <si>
    <t xml:space="preserve">What this does</t>
  </si>
  <si>
    <t xml:space="preserve">One row per enquiry, so none are missed. It sets a follow-up date 2 days after the enquiry arrives and flags anything that needs a reply, then counts where your work comes from.</t>
  </si>
  <si>
    <t xml:space="preserve">Which cells to fill in</t>
  </si>
  <si>
    <t xml:space="preserve">Yellow cells are yours to fill in. Grey cells work themselves out.</t>
  </si>
  <si>
    <t xml:space="preserve">The green row is an example. Delete or overwrite it.</t>
  </si>
  <si>
    <t xml:space="preserve">Keep only what you need</t>
  </si>
  <si>
    <t xml:space="preserve">Record only the contact details you need to reply and do the job, and delete rows you no longer need. The Information Commissioner's Office has guidance for small businesses:</t>
  </si>
  <si>
    <t xml:space="preserve">https://ico.org.uk/for-organisations/advice-for-small-organisations/</t>
  </si>
  <si>
    <t xml:space="preserve">The full guides</t>
  </si>
  <si>
    <t xml:space="preserve">https://a2bguides.github.io/guides/enquiry-tracking/</t>
  </si>
  <si>
    <t xml:space="preserve">https://a2bguides.github.io/guides/enquiry-logger/</t>
  </si>
  <si>
    <t xml:space="preserve">Enquiries</t>
  </si>
  <si>
    <t xml:space="preserve">Newest at the bottom. Choose Status and Source from the drop-downs.</t>
  </si>
  <si>
    <t xml:space="preserve">Date received</t>
  </si>
  <si>
    <t xml:space="preserve">Name</t>
  </si>
  <si>
    <t xml:space="preserve">Phone or email</t>
  </si>
  <si>
    <t xml:space="preserve">Source</t>
  </si>
  <si>
    <t xml:space="preserve">What they need</t>
  </si>
  <si>
    <t xml:space="preserve">Status</t>
  </si>
  <si>
    <t xml:space="preserve">Quote (£)</t>
  </si>
  <si>
    <t xml:space="preserve">Follow up by</t>
  </si>
  <si>
    <t xml:space="preserve">Needs a reply?</t>
  </si>
  <si>
    <t xml:space="preserve">Notes</t>
  </si>
  <si>
    <t xml:space="preserve">Sam Customer</t>
  </si>
  <si>
    <t xml:space="preserve">07000 000001</t>
  </si>
  <si>
    <t xml:space="preserve">Google Business Profile</t>
  </si>
  <si>
    <t xml:space="preserve">Leaking kitchen tap</t>
  </si>
  <si>
    <t xml:space="preserve">Quote sent</t>
  </si>
  <si>
    <t xml:space="preserve">Summary</t>
  </si>
  <si>
    <t xml:space="preserve">Counts update as you fill in the Enquiries sheet.</t>
  </si>
  <si>
    <t xml:space="preserve">Quote value (£)</t>
  </si>
  <si>
    <t xml:space="preserve">New</t>
  </si>
  <si>
    <t xml:space="preserve">Replied</t>
  </si>
  <si>
    <t xml:space="preserve">Won</t>
  </si>
  <si>
    <t xml:space="preserve">Lost</t>
  </si>
  <si>
    <t xml:space="preserve">Total</t>
  </si>
  <si>
    <t xml:space="preserve">Won as a share of decided (won + lost)</t>
  </si>
  <si>
    <t xml:space="preserve">Need a reply now</t>
  </si>
  <si>
    <t xml:space="preserve">Website</t>
  </si>
  <si>
    <t xml:space="preserve">Word of mouth</t>
  </si>
  <si>
    <t xml:space="preserve">Repeat customer</t>
  </si>
  <si>
    <t xml:space="preserve">Directory listing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</si>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</sst>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\£#,##0.00;&quot;-£&quot;#,##0.00;\–"/>
    <numFmt numFmtId="167" formatCode="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6B4A"/>
      <name val="Arial"/>
      <family val="0"/>
      <charset val="1"/>
    </font>
    <font>
      <i val="true"/>
      <sz val="10"/>
      <color rgb="FF5B6B62"/>
      <name val="Arial"/>
      <family val="0"/>
      <charset val="1"/>
    </font>
    <font>
      <b val="true"/>
      <sz val="12"/>
      <color rgb="FF1E6B4A"/>
      <name val="Arial"/>
      <family val="0"/>
      <charset val="1"/>
    </font>
    <font>
      <sz val="10"/>
      <color rgb="FF1F2A24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2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AF3EE"/>
        <bgColor rgb="FFF3F6F4"/>
      </patternFill>
    </fill>
    <fill>
      <patternFill patternType="solid">
        <fgColor rgb="FF1E6B4A"/>
        <bgColor rgb="FF008080"/>
      </patternFill>
    </fill>
    <fill>
      <patternFill patternType="solid">
        <fgColor rgb="FFF3F6F4"/>
        <bgColor rgb="FFEA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D"/>
      </left>
      <right style="thin">
        <color rgb="FFC9D3CD"/>
      </right>
      <top style="thin">
        <color rgb="FFC9D3CD"/>
      </top>
      <bottom style="thin">
        <color rgb="FFC9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C9D3CD"/>
      <rgbColor rgb="FF808080"/>
      <rgbColor rgb="FF9999FF"/>
      <rgbColor rgb="FF993366"/>
      <rgbColor rgb="FFFFF4C2"/>
      <rgbColor rgb="FFEAF3EE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B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co.org.uk/for-organisations/advice-for-small-organisations/" TargetMode="External"/><Relationship Id="rId2" Type="http://schemas.openxmlformats.org/officeDocument/2006/relationships/hyperlink" Target="https://a2bguides.github.io/guides/enquiry-tracking/" TargetMode="External"/><Relationship Id="rId3" Type="http://schemas.openxmlformats.org/officeDocument/2006/relationships/hyperlink" Target="https://a2bguides.github.io/guides/enquiry-logge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3" t="s">
        <v>7</v>
      </c>
    </row>
    <row r="10" customFormat="false" ht="23.8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7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7" t="s">
        <v>11</v>
      </c>
    </row>
    <row r="14" customFormat="false" ht="15" hidden="false" customHeight="false" outlineLevel="0" collapsed="false">
      <c r="A14" s="7" t="s">
        <v>12</v>
      </c>
    </row>
  </sheetData>
  <hyperlinks>
    <hyperlink ref="A11" r:id="rId1" display="https://ico.org.uk/for-organisations/advice-for-small-organisations/"/>
    <hyperlink ref="A13" r:id="rId2" display="https://a2bguides.github.io/guides/enquiry-tracking/"/>
    <hyperlink ref="A14" r:id="rId3" display="https://a2bguides.github.io/guides/enquiry-logge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</row>
    <row r="5" customFormat="false" ht="15" hidden="false" customHeight="false" outlineLevel="0" collapsed="false">
      <c r="A5" s="9" t="n">
        <v>46307</v>
      </c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29</v>
      </c>
      <c r="G5" s="11" t="n">
        <v>188</v>
      </c>
      <c r="H5" s="12" t="n">
        <f aca="false">IF(A5="","",A5+2)</f>
        <v>46309</v>
      </c>
      <c r="I5" s="13" t="str">
        <f aca="true">IF(A5="","",IF(AND(OR(F5="New",F5="Replied",F5="Quote sent"),TODAY()&gt;=H5),"Yes",""))</f>
        <v/>
      </c>
      <c r="J5" s="14"/>
    </row>
    <row r="6" customFormat="false" ht="15" hidden="false" customHeight="false" outlineLevel="0" collapsed="false">
      <c r="A6" s="15"/>
      <c r="B6" s="14"/>
      <c r="C6" s="14"/>
      <c r="D6" s="14"/>
      <c r="E6" s="14"/>
      <c r="F6" s="14"/>
      <c r="G6" s="16"/>
      <c r="H6" s="12" t="str">
        <f aca="false">IF(A6="","",A6+2)</f>
        <v/>
      </c>
      <c r="I6" s="13" t="str">
        <f aca="true">IF(A6="","",IF(AND(OR(F6="New",F6="Replied",F6="Quote sent"),TODAY()&gt;=H6),"Yes",""))</f>
        <v/>
      </c>
      <c r="J6" s="14"/>
    </row>
    <row r="7" customFormat="false" ht="15" hidden="false" customHeight="false" outlineLevel="0" collapsed="false">
      <c r="A7" s="15"/>
      <c r="B7" s="14"/>
      <c r="C7" s="14"/>
      <c r="D7" s="14"/>
      <c r="E7" s="14"/>
      <c r="F7" s="14"/>
      <c r="G7" s="16"/>
      <c r="H7" s="12" t="str">
        <f aca="false">IF(A7="","",A7+2)</f>
        <v/>
      </c>
      <c r="I7" s="13" t="str">
        <f aca="true">IF(A7="","",IF(AND(OR(F7="New",F7="Replied",F7="Quote sent"),TODAY()&gt;=H7),"Yes",""))</f>
        <v/>
      </c>
      <c r="J7" s="14"/>
    </row>
    <row r="8" customFormat="false" ht="15" hidden="false" customHeight="false" outlineLevel="0" collapsed="false">
      <c r="A8" s="15"/>
      <c r="B8" s="14"/>
      <c r="C8" s="14"/>
      <c r="D8" s="14"/>
      <c r="E8" s="14"/>
      <c r="F8" s="14"/>
      <c r="G8" s="16"/>
      <c r="H8" s="12" t="str">
        <f aca="false">IF(A8="","",A8+2)</f>
        <v/>
      </c>
      <c r="I8" s="13" t="str">
        <f aca="true">IF(A8="","",IF(AND(OR(F8="New",F8="Replied",F8="Quote sent"),TODAY()&gt;=H8),"Yes",""))</f>
        <v/>
      </c>
      <c r="J8" s="14"/>
    </row>
    <row r="9" customFormat="false" ht="15" hidden="false" customHeight="false" outlineLevel="0" collapsed="false">
      <c r="A9" s="15"/>
      <c r="B9" s="14"/>
      <c r="C9" s="14"/>
      <c r="D9" s="14"/>
      <c r="E9" s="14"/>
      <c r="F9" s="14"/>
      <c r="G9" s="16"/>
      <c r="H9" s="12" t="str">
        <f aca="false">IF(A9="","",A9+2)</f>
        <v/>
      </c>
      <c r="I9" s="13" t="str">
        <f aca="true">IF(A9="","",IF(AND(OR(F9="New",F9="Replied",F9="Quote sent"),TODAY()&gt;=H9),"Yes",""))</f>
        <v/>
      </c>
      <c r="J9" s="14"/>
    </row>
    <row r="10" customFormat="false" ht="15" hidden="false" customHeight="false" outlineLevel="0" collapsed="false">
      <c r="A10" s="15"/>
      <c r="B10" s="14"/>
      <c r="C10" s="14"/>
      <c r="D10" s="14"/>
      <c r="E10" s="14"/>
      <c r="F10" s="14"/>
      <c r="G10" s="16"/>
      <c r="H10" s="12" t="str">
        <f aca="false">IF(A10="","",A10+2)</f>
        <v/>
      </c>
      <c r="I10" s="13" t="str">
        <f aca="true">IF(A10="","",IF(AND(OR(F10="New",F10="Replied",F10="Quote sent"),TODAY()&gt;=H10),"Yes",""))</f>
        <v/>
      </c>
      <c r="J10" s="14"/>
    </row>
    <row r="11" customFormat="false" ht="15" hidden="false" customHeight="false" outlineLevel="0" collapsed="false">
      <c r="A11" s="15"/>
      <c r="B11" s="14"/>
      <c r="C11" s="14"/>
      <c r="D11" s="14"/>
      <c r="E11" s="14"/>
      <c r="F11" s="14"/>
      <c r="G11" s="16"/>
      <c r="H11" s="12" t="str">
        <f aca="false">IF(A11="","",A11+2)</f>
        <v/>
      </c>
      <c r="I11" s="13" t="str">
        <f aca="true">IF(A11="","",IF(AND(OR(F11="New",F11="Replied",F11="Quote sent"),TODAY()&gt;=H11),"Yes",""))</f>
        <v/>
      </c>
      <c r="J11" s="14"/>
    </row>
    <row r="12" customFormat="false" ht="15" hidden="false" customHeight="false" outlineLevel="0" collapsed="false">
      <c r="A12" s="15"/>
      <c r="B12" s="14"/>
      <c r="C12" s="14"/>
      <c r="D12" s="14"/>
      <c r="E12" s="14"/>
      <c r="F12" s="14"/>
      <c r="G12" s="16"/>
      <c r="H12" s="12" t="str">
        <f aca="false">IF(A12="","",A12+2)</f>
        <v/>
      </c>
      <c r="I12" s="13" t="str">
        <f aca="true">IF(A12="","",IF(AND(OR(F12="New",F12="Replied",F12="Quote sent"),TODAY()&gt;=H12),"Yes",""))</f>
        <v/>
      </c>
      <c r="J12" s="14"/>
    </row>
    <row r="13" customFormat="false" ht="15" hidden="false" customHeight="false" outlineLevel="0" collapsed="false">
      <c r="A13" s="15"/>
      <c r="B13" s="14"/>
      <c r="C13" s="14"/>
      <c r="D13" s="14"/>
      <c r="E13" s="14"/>
      <c r="F13" s="14"/>
      <c r="G13" s="16"/>
      <c r="H13" s="12" t="str">
        <f aca="false">IF(A13="","",A13+2)</f>
        <v/>
      </c>
      <c r="I13" s="13" t="str">
        <f aca="true">IF(A13="","",IF(AND(OR(F13="New",F13="Replied",F13="Quote sent"),TODAY()&gt;=H13),"Yes",""))</f>
        <v/>
      </c>
      <c r="J13" s="14"/>
    </row>
    <row r="14" customFormat="false" ht="15" hidden="false" customHeight="false" outlineLevel="0" collapsed="false">
      <c r="A14" s="15"/>
      <c r="B14" s="14"/>
      <c r="C14" s="14"/>
      <c r="D14" s="14"/>
      <c r="E14" s="14"/>
      <c r="F14" s="14"/>
      <c r="G14" s="16"/>
      <c r="H14" s="12" t="str">
        <f aca="false">IF(A14="","",A14+2)</f>
        <v/>
      </c>
      <c r="I14" s="13" t="str">
        <f aca="true">IF(A14="","",IF(AND(OR(F14="New",F14="Replied",F14="Quote sent"),TODAY()&gt;=H14),"Yes",""))</f>
        <v/>
      </c>
      <c r="J14" s="14"/>
    </row>
    <row r="15" customFormat="false" ht="15" hidden="false" customHeight="false" outlineLevel="0" collapsed="false">
      <c r="A15" s="15"/>
      <c r="B15" s="14"/>
      <c r="C15" s="14"/>
      <c r="D15" s="14"/>
      <c r="E15" s="14"/>
      <c r="F15" s="14"/>
      <c r="G15" s="16"/>
      <c r="H15" s="12" t="str">
        <f aca="false">IF(A15="","",A15+2)</f>
        <v/>
      </c>
      <c r="I15" s="13" t="str">
        <f aca="true">IF(A15="","",IF(AND(OR(F15="New",F15="Replied",F15="Quote sent"),TODAY()&gt;=H15),"Yes",""))</f>
        <v/>
      </c>
      <c r="J15" s="14"/>
    </row>
    <row r="16" customFormat="false" ht="15" hidden="false" customHeight="false" outlineLevel="0" collapsed="false">
      <c r="A16" s="15"/>
      <c r="B16" s="14"/>
      <c r="C16" s="14"/>
      <c r="D16" s="14"/>
      <c r="E16" s="14"/>
      <c r="F16" s="14"/>
      <c r="G16" s="16"/>
      <c r="H16" s="12" t="str">
        <f aca="false">IF(A16="","",A16+2)</f>
        <v/>
      </c>
      <c r="I16" s="13" t="str">
        <f aca="true">IF(A16="","",IF(AND(OR(F16="New",F16="Replied",F16="Quote sent"),TODAY()&gt;=H16),"Yes",""))</f>
        <v/>
      </c>
      <c r="J16" s="14"/>
    </row>
    <row r="17" customFormat="false" ht="15" hidden="false" customHeight="false" outlineLevel="0" collapsed="false">
      <c r="A17" s="15"/>
      <c r="B17" s="14"/>
      <c r="C17" s="14"/>
      <c r="D17" s="14"/>
      <c r="E17" s="14"/>
      <c r="F17" s="14"/>
      <c r="G17" s="16"/>
      <c r="H17" s="12" t="str">
        <f aca="false">IF(A17="","",A17+2)</f>
        <v/>
      </c>
      <c r="I17" s="13" t="str">
        <f aca="true">IF(A17="","",IF(AND(OR(F17="New",F17="Replied",F17="Quote sent"),TODAY()&gt;=H17),"Yes",""))</f>
        <v/>
      </c>
      <c r="J17" s="14"/>
    </row>
    <row r="18" customFormat="false" ht="15" hidden="false" customHeight="false" outlineLevel="0" collapsed="false">
      <c r="A18" s="15"/>
      <c r="B18" s="14"/>
      <c r="C18" s="14"/>
      <c r="D18" s="14"/>
      <c r="E18" s="14"/>
      <c r="F18" s="14"/>
      <c r="G18" s="16"/>
      <c r="H18" s="12" t="str">
        <f aca="false">IF(A18="","",A18+2)</f>
        <v/>
      </c>
      <c r="I18" s="13" t="str">
        <f aca="true">IF(A18="","",IF(AND(OR(F18="New",F18="Replied",F18="Quote sent"),TODAY()&gt;=H18),"Yes",""))</f>
        <v/>
      </c>
      <c r="J18" s="14"/>
    </row>
    <row r="19" customFormat="false" ht="15" hidden="false" customHeight="false" outlineLevel="0" collapsed="false">
      <c r="A19" s="15"/>
      <c r="B19" s="14"/>
      <c r="C19" s="14"/>
      <c r="D19" s="14"/>
      <c r="E19" s="14"/>
      <c r="F19" s="14"/>
      <c r="G19" s="16"/>
      <c r="H19" s="12" t="str">
        <f aca="false">IF(A19="","",A19+2)</f>
        <v/>
      </c>
      <c r="I19" s="13" t="str">
        <f aca="true">IF(A19="","",IF(AND(OR(F19="New",F19="Replied",F19="Quote sent"),TODAY()&gt;=H19),"Yes",""))</f>
        <v/>
      </c>
      <c r="J19" s="14"/>
    </row>
    <row r="20" customFormat="false" ht="15" hidden="false" customHeight="false" outlineLevel="0" collapsed="false">
      <c r="A20" s="15"/>
      <c r="B20" s="14"/>
      <c r="C20" s="14"/>
      <c r="D20" s="14"/>
      <c r="E20" s="14"/>
      <c r="F20" s="14"/>
      <c r="G20" s="16"/>
      <c r="H20" s="12" t="str">
        <f aca="false">IF(A20="","",A20+2)</f>
        <v/>
      </c>
      <c r="I20" s="13" t="str">
        <f aca="true">IF(A20="","",IF(AND(OR(F20="New",F20="Replied",F20="Quote sent"),TODAY()&gt;=H20),"Yes",""))</f>
        <v/>
      </c>
      <c r="J20" s="14"/>
    </row>
    <row r="21" customFormat="false" ht="15" hidden="false" customHeight="false" outlineLevel="0" collapsed="false">
      <c r="A21" s="15"/>
      <c r="B21" s="14"/>
      <c r="C21" s="14"/>
      <c r="D21" s="14"/>
      <c r="E21" s="14"/>
      <c r="F21" s="14"/>
      <c r="G21" s="16"/>
      <c r="H21" s="12" t="str">
        <f aca="false">IF(A21="","",A21+2)</f>
        <v/>
      </c>
      <c r="I21" s="13" t="str">
        <f aca="true">IF(A21="","",IF(AND(OR(F21="New",F21="Replied",F21="Quote sent"),TODAY()&gt;=H21),"Yes",""))</f>
        <v/>
      </c>
      <c r="J21" s="14"/>
    </row>
    <row r="22" customFormat="false" ht="15" hidden="false" customHeight="false" outlineLevel="0" collapsed="false">
      <c r="A22" s="15"/>
      <c r="B22" s="14"/>
      <c r="C22" s="14"/>
      <c r="D22" s="14"/>
      <c r="E22" s="14"/>
      <c r="F22" s="14"/>
      <c r="G22" s="16"/>
      <c r="H22" s="12" t="str">
        <f aca="false">IF(A22="","",A22+2)</f>
        <v/>
      </c>
      <c r="I22" s="13" t="str">
        <f aca="true">IF(A22="","",IF(AND(OR(F22="New",F22="Replied",F22="Quote sent"),TODAY()&gt;=H22),"Yes",""))</f>
        <v/>
      </c>
      <c r="J22" s="14"/>
    </row>
    <row r="23" customFormat="false" ht="15" hidden="false" customHeight="false" outlineLevel="0" collapsed="false">
      <c r="A23" s="15"/>
      <c r="B23" s="14"/>
      <c r="C23" s="14"/>
      <c r="D23" s="14"/>
      <c r="E23" s="14"/>
      <c r="F23" s="14"/>
      <c r="G23" s="16"/>
      <c r="H23" s="12" t="str">
        <f aca="false">IF(A23="","",A23+2)</f>
        <v/>
      </c>
      <c r="I23" s="13" t="str">
        <f aca="true">IF(A23="","",IF(AND(OR(F23="New",F23="Replied",F23="Quote sent"),TODAY()&gt;=H23),"Yes",""))</f>
        <v/>
      </c>
      <c r="J23" s="14"/>
    </row>
    <row r="24" customFormat="false" ht="15" hidden="false" customHeight="false" outlineLevel="0" collapsed="false">
      <c r="A24" s="15"/>
      <c r="B24" s="14"/>
      <c r="C24" s="14"/>
      <c r="D24" s="14"/>
      <c r="E24" s="14"/>
      <c r="F24" s="14"/>
      <c r="G24" s="16"/>
      <c r="H24" s="12" t="str">
        <f aca="false">IF(A24="","",A24+2)</f>
        <v/>
      </c>
      <c r="I24" s="13" t="str">
        <f aca="true">IF(A24="","",IF(AND(OR(F24="New",F24="Replied",F24="Quote sent"),TODAY()&gt;=H24),"Yes",""))</f>
        <v/>
      </c>
      <c r="J24" s="14"/>
    </row>
    <row r="25" customFormat="false" ht="15" hidden="false" customHeight="false" outlineLevel="0" collapsed="false">
      <c r="A25" s="15"/>
      <c r="B25" s="14"/>
      <c r="C25" s="14"/>
      <c r="D25" s="14"/>
      <c r="E25" s="14"/>
      <c r="F25" s="14"/>
      <c r="G25" s="16"/>
      <c r="H25" s="12" t="str">
        <f aca="false">IF(A25="","",A25+2)</f>
        <v/>
      </c>
      <c r="I25" s="13" t="str">
        <f aca="true">IF(A25="","",IF(AND(OR(F25="New",F25="Replied",F25="Quote sent"),TODAY()&gt;=H25),"Yes",""))</f>
        <v/>
      </c>
      <c r="J25" s="14"/>
    </row>
    <row r="26" customFormat="false" ht="15" hidden="false" customHeight="false" outlineLevel="0" collapsed="false">
      <c r="A26" s="15"/>
      <c r="B26" s="14"/>
      <c r="C26" s="14"/>
      <c r="D26" s="14"/>
      <c r="E26" s="14"/>
      <c r="F26" s="14"/>
      <c r="G26" s="16"/>
      <c r="H26" s="12" t="str">
        <f aca="false">IF(A26="","",A26+2)</f>
        <v/>
      </c>
      <c r="I26" s="13" t="str">
        <f aca="true">IF(A26="","",IF(AND(OR(F26="New",F26="Replied",F26="Quote sent"),TODAY()&gt;=H26),"Yes",""))</f>
        <v/>
      </c>
      <c r="J26" s="14"/>
    </row>
    <row r="27" customFormat="false" ht="15" hidden="false" customHeight="false" outlineLevel="0" collapsed="false">
      <c r="A27" s="15"/>
      <c r="B27" s="14"/>
      <c r="C27" s="14"/>
      <c r="D27" s="14"/>
      <c r="E27" s="14"/>
      <c r="F27" s="14"/>
      <c r="G27" s="16"/>
      <c r="H27" s="12" t="str">
        <f aca="false">IF(A27="","",A27+2)</f>
        <v/>
      </c>
      <c r="I27" s="13" t="str">
        <f aca="true">IF(A27="","",IF(AND(OR(F27="New",F27="Replied",F27="Quote sent"),TODAY()&gt;=H27),"Yes",""))</f>
        <v/>
      </c>
      <c r="J27" s="14"/>
    </row>
    <row r="28" customFormat="false" ht="15" hidden="false" customHeight="false" outlineLevel="0" collapsed="false">
      <c r="A28" s="15"/>
      <c r="B28" s="14"/>
      <c r="C28" s="14"/>
      <c r="D28" s="14"/>
      <c r="E28" s="14"/>
      <c r="F28" s="14"/>
      <c r="G28" s="16"/>
      <c r="H28" s="12" t="str">
        <f aca="false">IF(A28="","",A28+2)</f>
        <v/>
      </c>
      <c r="I28" s="13" t="str">
        <f aca="true">IF(A28="","",IF(AND(OR(F28="New",F28="Replied",F28="Quote sent"),TODAY()&gt;=H28),"Yes",""))</f>
        <v/>
      </c>
      <c r="J28" s="14"/>
    </row>
    <row r="29" customFormat="false" ht="15" hidden="false" customHeight="false" outlineLevel="0" collapsed="false">
      <c r="A29" s="15"/>
      <c r="B29" s="14"/>
      <c r="C29" s="14"/>
      <c r="D29" s="14"/>
      <c r="E29" s="14"/>
      <c r="F29" s="14"/>
      <c r="G29" s="16"/>
      <c r="H29" s="12" t="str">
        <f aca="false">IF(A29="","",A29+2)</f>
        <v/>
      </c>
      <c r="I29" s="13" t="str">
        <f aca="true">IF(A29="","",IF(AND(OR(F29="New",F29="Replied",F29="Quote sent"),TODAY()&gt;=H29),"Yes",""))</f>
        <v/>
      </c>
      <c r="J29" s="14"/>
    </row>
    <row r="30" customFormat="false" ht="15" hidden="false" customHeight="false" outlineLevel="0" collapsed="false">
      <c r="A30" s="15"/>
      <c r="B30" s="14"/>
      <c r="C30" s="14"/>
      <c r="D30" s="14"/>
      <c r="E30" s="14"/>
      <c r="F30" s="14"/>
      <c r="G30" s="16"/>
      <c r="H30" s="12" t="str">
        <f aca="false">IF(A30="","",A30+2)</f>
        <v/>
      </c>
      <c r="I30" s="13" t="str">
        <f aca="true">IF(A30="","",IF(AND(OR(F30="New",F30="Replied",F30="Quote sent"),TODAY()&gt;=H30),"Yes",""))</f>
        <v/>
      </c>
      <c r="J30" s="14"/>
    </row>
    <row r="31" customFormat="false" ht="15" hidden="false" customHeight="false" outlineLevel="0" collapsed="false">
      <c r="A31" s="15"/>
      <c r="B31" s="14"/>
      <c r="C31" s="14"/>
      <c r="D31" s="14"/>
      <c r="E31" s="14"/>
      <c r="F31" s="14"/>
      <c r="G31" s="16"/>
      <c r="H31" s="12" t="str">
        <f aca="false">IF(A31="","",A31+2)</f>
        <v/>
      </c>
      <c r="I31" s="13" t="str">
        <f aca="true">IF(A31="","",IF(AND(OR(F31="New",F31="Replied",F31="Quote sent"),TODAY()&gt;=H31),"Yes",""))</f>
        <v/>
      </c>
      <c r="J31" s="14"/>
    </row>
    <row r="32" customFormat="false" ht="15" hidden="false" customHeight="false" outlineLevel="0" collapsed="false">
      <c r="A32" s="15"/>
      <c r="B32" s="14"/>
      <c r="C32" s="14"/>
      <c r="D32" s="14"/>
      <c r="E32" s="14"/>
      <c r="F32" s="14"/>
      <c r="G32" s="16"/>
      <c r="H32" s="12" t="str">
        <f aca="false">IF(A32="","",A32+2)</f>
        <v/>
      </c>
      <c r="I32" s="13" t="str">
        <f aca="true">IF(A32="","",IF(AND(OR(F32="New",F32="Replied",F32="Quote sent"),TODAY()&gt;=H32),"Yes",""))</f>
        <v/>
      </c>
      <c r="J32" s="14"/>
    </row>
    <row r="33" customFormat="false" ht="15" hidden="false" customHeight="false" outlineLevel="0" collapsed="false">
      <c r="A33" s="15"/>
      <c r="B33" s="14"/>
      <c r="C33" s="14"/>
      <c r="D33" s="14"/>
      <c r="E33" s="14"/>
      <c r="F33" s="14"/>
      <c r="G33" s="16"/>
      <c r="H33" s="12" t="str">
        <f aca="false">IF(A33="","",A33+2)</f>
        <v/>
      </c>
      <c r="I33" s="13" t="str">
        <f aca="true">IF(A33="","",IF(AND(OR(F33="New",F33="Replied",F33="Quote sent"),TODAY()&gt;=H33),"Yes",""))</f>
        <v/>
      </c>
      <c r="J33" s="14"/>
    </row>
    <row r="34" customFormat="false" ht="15" hidden="false" customHeight="false" outlineLevel="0" collapsed="false">
      <c r="A34" s="15"/>
      <c r="B34" s="14"/>
      <c r="C34" s="14"/>
      <c r="D34" s="14"/>
      <c r="E34" s="14"/>
      <c r="F34" s="14"/>
      <c r="G34" s="16"/>
      <c r="H34" s="12" t="str">
        <f aca="false">IF(A34="","",A34+2)</f>
        <v/>
      </c>
      <c r="I34" s="13" t="str">
        <f aca="true">IF(A34="","",IF(AND(OR(F34="New",F34="Replied",F34="Quote sent"),TODAY()&gt;=H34),"Yes",""))</f>
        <v/>
      </c>
      <c r="J34" s="14"/>
    </row>
    <row r="35" customFormat="false" ht="15" hidden="false" customHeight="false" outlineLevel="0" collapsed="false">
      <c r="A35" s="15"/>
      <c r="B35" s="14"/>
      <c r="C35" s="14"/>
      <c r="D35" s="14"/>
      <c r="E35" s="14"/>
      <c r="F35" s="14"/>
      <c r="G35" s="16"/>
      <c r="H35" s="12" t="str">
        <f aca="false">IF(A35="","",A35+2)</f>
        <v/>
      </c>
      <c r="I35" s="13" t="str">
        <f aca="true">IF(A35="","",IF(AND(OR(F35="New",F35="Replied",F35="Quote sent"),TODAY()&gt;=H35),"Yes",""))</f>
        <v/>
      </c>
      <c r="J35" s="14"/>
    </row>
    <row r="36" customFormat="false" ht="15" hidden="false" customHeight="false" outlineLevel="0" collapsed="false">
      <c r="A36" s="15"/>
      <c r="B36" s="14"/>
      <c r="C36" s="14"/>
      <c r="D36" s="14"/>
      <c r="E36" s="14"/>
      <c r="F36" s="14"/>
      <c r="G36" s="16"/>
      <c r="H36" s="12" t="str">
        <f aca="false">IF(A36="","",A36+2)</f>
        <v/>
      </c>
      <c r="I36" s="13" t="str">
        <f aca="true">IF(A36="","",IF(AND(OR(F36="New",F36="Replied",F36="Quote sent"),TODAY()&gt;=H36),"Yes",""))</f>
        <v/>
      </c>
      <c r="J36" s="14"/>
    </row>
    <row r="37" customFormat="false" ht="15" hidden="false" customHeight="false" outlineLevel="0" collapsed="false">
      <c r="A37" s="15"/>
      <c r="B37" s="14"/>
      <c r="C37" s="14"/>
      <c r="D37" s="14"/>
      <c r="E37" s="14"/>
      <c r="F37" s="14"/>
      <c r="G37" s="16"/>
      <c r="H37" s="12" t="str">
        <f aca="false">IF(A37="","",A37+2)</f>
        <v/>
      </c>
      <c r="I37" s="13" t="str">
        <f aca="true">IF(A37="","",IF(AND(OR(F37="New",F37="Replied",F37="Quote sent"),TODAY()&gt;=H37),"Yes",""))</f>
        <v/>
      </c>
      <c r="J37" s="14"/>
    </row>
    <row r="38" customFormat="false" ht="15" hidden="false" customHeight="false" outlineLevel="0" collapsed="false">
      <c r="A38" s="15"/>
      <c r="B38" s="14"/>
      <c r="C38" s="14"/>
      <c r="D38" s="14"/>
      <c r="E38" s="14"/>
      <c r="F38" s="14"/>
      <c r="G38" s="16"/>
      <c r="H38" s="12" t="str">
        <f aca="false">IF(A38="","",A38+2)</f>
        <v/>
      </c>
      <c r="I38" s="13" t="str">
        <f aca="true">IF(A38="","",IF(AND(OR(F38="New",F38="Replied",F38="Quote sent"),TODAY()&gt;=H38),"Yes",""))</f>
        <v/>
      </c>
      <c r="J38" s="14"/>
    </row>
    <row r="39" customFormat="false" ht="15" hidden="false" customHeight="false" outlineLevel="0" collapsed="false">
      <c r="A39" s="15"/>
      <c r="B39" s="14"/>
      <c r="C39" s="14"/>
      <c r="D39" s="14"/>
      <c r="E39" s="14"/>
      <c r="F39" s="14"/>
      <c r="G39" s="16"/>
      <c r="H39" s="12" t="str">
        <f aca="false">IF(A39="","",A39+2)</f>
        <v/>
      </c>
      <c r="I39" s="13" t="str">
        <f aca="true">IF(A39="","",IF(AND(OR(F39="New",F39="Replied",F39="Quote sent"),TODAY()&gt;=H39),"Yes",""))</f>
        <v/>
      </c>
      <c r="J39" s="14"/>
    </row>
    <row r="40" customFormat="false" ht="15" hidden="false" customHeight="false" outlineLevel="0" collapsed="false">
      <c r="A40" s="15"/>
      <c r="B40" s="14"/>
      <c r="C40" s="14"/>
      <c r="D40" s="14"/>
      <c r="E40" s="14"/>
      <c r="F40" s="14"/>
      <c r="G40" s="16"/>
      <c r="H40" s="12" t="str">
        <f aca="false">IF(A40="","",A40+2)</f>
        <v/>
      </c>
      <c r="I40" s="13" t="str">
        <f aca="true">IF(A40="","",IF(AND(OR(F40="New",F40="Replied",F40="Quote sent"),TODAY()&gt;=H40),"Yes",""))</f>
        <v/>
      </c>
      <c r="J40" s="14"/>
    </row>
    <row r="41" customFormat="false" ht="15" hidden="false" customHeight="false" outlineLevel="0" collapsed="false">
      <c r="A41" s="15"/>
      <c r="B41" s="14"/>
      <c r="C41" s="14"/>
      <c r="D41" s="14"/>
      <c r="E41" s="14"/>
      <c r="F41" s="14"/>
      <c r="G41" s="16"/>
      <c r="H41" s="12" t="str">
        <f aca="false">IF(A41="","",A41+2)</f>
        <v/>
      </c>
      <c r="I41" s="13" t="str">
        <f aca="true">IF(A41="","",IF(AND(OR(F41="New",F41="Replied",F41="Quote sent"),TODAY()&gt;=H41),"Yes",""))</f>
        <v/>
      </c>
      <c r="J41" s="14"/>
    </row>
    <row r="42" customFormat="false" ht="15" hidden="false" customHeight="false" outlineLevel="0" collapsed="false">
      <c r="A42" s="15"/>
      <c r="B42" s="14"/>
      <c r="C42" s="14"/>
      <c r="D42" s="14"/>
      <c r="E42" s="14"/>
      <c r="F42" s="14"/>
      <c r="G42" s="16"/>
      <c r="H42" s="12" t="str">
        <f aca="false">IF(A42="","",A42+2)</f>
        <v/>
      </c>
      <c r="I42" s="13" t="str">
        <f aca="true">IF(A42="","",IF(AND(OR(F42="New",F42="Replied",F42="Quote sent"),TODAY()&gt;=H42),"Yes",""))</f>
        <v/>
      </c>
      <c r="J42" s="14"/>
    </row>
    <row r="43" customFormat="false" ht="15" hidden="false" customHeight="false" outlineLevel="0" collapsed="false">
      <c r="A43" s="15"/>
      <c r="B43" s="14"/>
      <c r="C43" s="14"/>
      <c r="D43" s="14"/>
      <c r="E43" s="14"/>
      <c r="F43" s="14"/>
      <c r="G43" s="16"/>
      <c r="H43" s="12" t="str">
        <f aca="false">IF(A43="","",A43+2)</f>
        <v/>
      </c>
      <c r="I43" s="13" t="str">
        <f aca="true">IF(A43="","",IF(AND(OR(F43="New",F43="Replied",F43="Quote sent"),TODAY()&gt;=H43),"Yes",""))</f>
        <v/>
      </c>
      <c r="J43" s="14"/>
    </row>
    <row r="44" customFormat="false" ht="15" hidden="false" customHeight="false" outlineLevel="0" collapsed="false">
      <c r="A44" s="15"/>
      <c r="B44" s="14"/>
      <c r="C44" s="14"/>
      <c r="D44" s="14"/>
      <c r="E44" s="14"/>
      <c r="F44" s="14"/>
      <c r="G44" s="16"/>
      <c r="H44" s="12" t="str">
        <f aca="false">IF(A44="","",A44+2)</f>
        <v/>
      </c>
      <c r="I44" s="13" t="str">
        <f aca="true">IF(A44="","",IF(AND(OR(F44="New",F44="Replied",F44="Quote sent"),TODAY()&gt;=H44),"Yes",""))</f>
        <v/>
      </c>
      <c r="J44" s="14"/>
    </row>
    <row r="45" customFormat="false" ht="15" hidden="false" customHeight="false" outlineLevel="0" collapsed="false">
      <c r="A45" s="15"/>
      <c r="B45" s="14"/>
      <c r="C45" s="14"/>
      <c r="D45" s="14"/>
      <c r="E45" s="14"/>
      <c r="F45" s="14"/>
      <c r="G45" s="16"/>
      <c r="H45" s="12" t="str">
        <f aca="false">IF(A45="","",A45+2)</f>
        <v/>
      </c>
      <c r="I45" s="13" t="str">
        <f aca="true">IF(A45="","",IF(AND(OR(F45="New",F45="Replied",F45="Quote sent"),TODAY()&gt;=H45),"Yes",""))</f>
        <v/>
      </c>
      <c r="J45" s="14"/>
    </row>
    <row r="46" customFormat="false" ht="15" hidden="false" customHeight="false" outlineLevel="0" collapsed="false">
      <c r="A46" s="15"/>
      <c r="B46" s="14"/>
      <c r="C46" s="14"/>
      <c r="D46" s="14"/>
      <c r="E46" s="14"/>
      <c r="F46" s="14"/>
      <c r="G46" s="16"/>
      <c r="H46" s="12" t="str">
        <f aca="false">IF(A46="","",A46+2)</f>
        <v/>
      </c>
      <c r="I46" s="13" t="str">
        <f aca="true">IF(A46="","",IF(AND(OR(F46="New",F46="Replied",F46="Quote sent"),TODAY()&gt;=H46),"Yes",""))</f>
        <v/>
      </c>
      <c r="J46" s="14"/>
    </row>
    <row r="47" customFormat="false" ht="15" hidden="false" customHeight="false" outlineLevel="0" collapsed="false">
      <c r="A47" s="15"/>
      <c r="B47" s="14"/>
      <c r="C47" s="14"/>
      <c r="D47" s="14"/>
      <c r="E47" s="14"/>
      <c r="F47" s="14"/>
      <c r="G47" s="16"/>
      <c r="H47" s="12" t="str">
        <f aca="false">IF(A47="","",A47+2)</f>
        <v/>
      </c>
      <c r="I47" s="13" t="str">
        <f aca="true">IF(A47="","",IF(AND(OR(F47="New",F47="Replied",F47="Quote sent"),TODAY()&gt;=H47),"Yes",""))</f>
        <v/>
      </c>
      <c r="J47" s="14"/>
    </row>
    <row r="48" customFormat="false" ht="15" hidden="false" customHeight="false" outlineLevel="0" collapsed="false">
      <c r="A48" s="15"/>
      <c r="B48" s="14"/>
      <c r="C48" s="14"/>
      <c r="D48" s="14"/>
      <c r="E48" s="14"/>
      <c r="F48" s="14"/>
      <c r="G48" s="16"/>
      <c r="H48" s="12" t="str">
        <f aca="false">IF(A48="","",A48+2)</f>
        <v/>
      </c>
      <c r="I48" s="13" t="str">
        <f aca="true">IF(A48="","",IF(AND(OR(F48="New",F48="Replied",F48="Quote sent"),TODAY()&gt;=H48),"Yes",""))</f>
        <v/>
      </c>
      <c r="J48" s="14"/>
    </row>
    <row r="49" customFormat="false" ht="15" hidden="false" customHeight="false" outlineLevel="0" collapsed="false">
      <c r="A49" s="15"/>
      <c r="B49" s="14"/>
      <c r="C49" s="14"/>
      <c r="D49" s="14"/>
      <c r="E49" s="14"/>
      <c r="F49" s="14"/>
      <c r="G49" s="16"/>
      <c r="H49" s="12" t="str">
        <f aca="false">IF(A49="","",A49+2)</f>
        <v/>
      </c>
      <c r="I49" s="13" t="str">
        <f aca="true">IF(A49="","",IF(AND(OR(F49="New",F49="Replied",F49="Quote sent"),TODAY()&gt;=H49),"Yes",""))</f>
        <v/>
      </c>
      <c r="J49" s="14"/>
    </row>
    <row r="50" customFormat="false" ht="15" hidden="false" customHeight="false" outlineLevel="0" collapsed="false">
      <c r="A50" s="15"/>
      <c r="B50" s="14"/>
      <c r="C50" s="14"/>
      <c r="D50" s="14"/>
      <c r="E50" s="14"/>
      <c r="F50" s="14"/>
      <c r="G50" s="16"/>
      <c r="H50" s="12" t="str">
        <f aca="false">IF(A50="","",A50+2)</f>
        <v/>
      </c>
      <c r="I50" s="13" t="str">
        <f aca="true">IF(A50="","",IF(AND(OR(F50="New",F50="Replied",F50="Quote sent"),TODAY()&gt;=H50),"Yes",""))</f>
        <v/>
      </c>
      <c r="J50" s="14"/>
    </row>
    <row r="51" customFormat="false" ht="15" hidden="false" customHeight="false" outlineLevel="0" collapsed="false">
      <c r="A51" s="15"/>
      <c r="B51" s="14"/>
      <c r="C51" s="14"/>
      <c r="D51" s="14"/>
      <c r="E51" s="14"/>
      <c r="F51" s="14"/>
      <c r="G51" s="16"/>
      <c r="H51" s="12" t="str">
        <f aca="false">IF(A51="","",A51+2)</f>
        <v/>
      </c>
      <c r="I51" s="13" t="str">
        <f aca="true">IF(A51="","",IF(AND(OR(F51="New",F51="Replied",F51="Quote sent"),TODAY()&gt;=H51),"Yes",""))</f>
        <v/>
      </c>
      <c r="J51" s="14"/>
    </row>
    <row r="52" customFormat="false" ht="15" hidden="false" customHeight="false" outlineLevel="0" collapsed="false">
      <c r="A52" s="15"/>
      <c r="B52" s="14"/>
      <c r="C52" s="14"/>
      <c r="D52" s="14"/>
      <c r="E52" s="14"/>
      <c r="F52" s="14"/>
      <c r="G52" s="16"/>
      <c r="H52" s="12" t="str">
        <f aca="false">IF(A52="","",A52+2)</f>
        <v/>
      </c>
      <c r="I52" s="13" t="str">
        <f aca="true">IF(A52="","",IF(AND(OR(F52="New",F52="Replied",F52="Quote sent"),TODAY()&gt;=H52),"Yes",""))</f>
        <v/>
      </c>
      <c r="J52" s="14"/>
    </row>
    <row r="53" customFormat="false" ht="15" hidden="false" customHeight="false" outlineLevel="0" collapsed="false">
      <c r="A53" s="15"/>
      <c r="B53" s="14"/>
      <c r="C53" s="14"/>
      <c r="D53" s="14"/>
      <c r="E53" s="14"/>
      <c r="F53" s="14"/>
      <c r="G53" s="16"/>
      <c r="H53" s="12" t="str">
        <f aca="false">IF(A53="","",A53+2)</f>
        <v/>
      </c>
      <c r="I53" s="13" t="str">
        <f aca="true">IF(A53="","",IF(AND(OR(F53="New",F53="Replied",F53="Quote sent"),TODAY()&gt;=H53),"Yes",""))</f>
        <v/>
      </c>
      <c r="J53" s="14"/>
    </row>
    <row r="54" customFormat="false" ht="15" hidden="false" customHeight="false" outlineLevel="0" collapsed="false">
      <c r="A54" s="15"/>
      <c r="B54" s="14"/>
      <c r="C54" s="14"/>
      <c r="D54" s="14"/>
      <c r="E54" s="14"/>
      <c r="F54" s="14"/>
      <c r="G54" s="16"/>
      <c r="H54" s="12" t="str">
        <f aca="false">IF(A54="","",A54+2)</f>
        <v/>
      </c>
      <c r="I54" s="13" t="str">
        <f aca="true">IF(A54="","",IF(AND(OR(F54="New",F54="Replied",F54="Quote sent"),TODAY()&gt;=H54),"Yes",""))</f>
        <v/>
      </c>
      <c r="J54" s="14"/>
    </row>
    <row r="55" customFormat="false" ht="15" hidden="false" customHeight="false" outlineLevel="0" collapsed="false">
      <c r="A55" s="15"/>
      <c r="B55" s="14"/>
      <c r="C55" s="14"/>
      <c r="D55" s="14"/>
      <c r="E55" s="14"/>
      <c r="F55" s="14"/>
      <c r="G55" s="16"/>
      <c r="H55" s="12" t="str">
        <f aca="false">IF(A55="","",A55+2)</f>
        <v/>
      </c>
      <c r="I55" s="13" t="str">
        <f aca="true">IF(A55="","",IF(AND(OR(F55="New",F55="Replied",F55="Quote sent"),TODAY()&gt;=H55),"Yes",""))</f>
        <v/>
      </c>
      <c r="J55" s="14"/>
    </row>
    <row r="56" customFormat="false" ht="15" hidden="false" customHeight="false" outlineLevel="0" collapsed="false">
      <c r="A56" s="15"/>
      <c r="B56" s="14"/>
      <c r="C56" s="14"/>
      <c r="D56" s="14"/>
      <c r="E56" s="14"/>
      <c r="F56" s="14"/>
      <c r="G56" s="16"/>
      <c r="H56" s="12" t="str">
        <f aca="false">IF(A56="","",A56+2)</f>
        <v/>
      </c>
      <c r="I56" s="13" t="str">
        <f aca="true">IF(A56="","",IF(AND(OR(F56="New",F56="Replied",F56="Quote sent"),TODAY()&gt;=H56),"Yes",""))</f>
        <v/>
      </c>
      <c r="J56" s="14"/>
    </row>
    <row r="57" customFormat="false" ht="15" hidden="false" customHeight="false" outlineLevel="0" collapsed="false">
      <c r="A57" s="15"/>
      <c r="B57" s="14"/>
      <c r="C57" s="14"/>
      <c r="D57" s="14"/>
      <c r="E57" s="14"/>
      <c r="F57" s="14"/>
      <c r="G57" s="16"/>
      <c r="H57" s="12" t="str">
        <f aca="false">IF(A57="","",A57+2)</f>
        <v/>
      </c>
      <c r="I57" s="13" t="str">
        <f aca="true">IF(A57="","",IF(AND(OR(F57="New",F57="Replied",F57="Quote sent"),TODAY()&gt;=H57),"Yes",""))</f>
        <v/>
      </c>
      <c r="J57" s="14"/>
    </row>
    <row r="58" customFormat="false" ht="15" hidden="false" customHeight="false" outlineLevel="0" collapsed="false">
      <c r="A58" s="15"/>
      <c r="B58" s="14"/>
      <c r="C58" s="14"/>
      <c r="D58" s="14"/>
      <c r="E58" s="14"/>
      <c r="F58" s="14"/>
      <c r="G58" s="16"/>
      <c r="H58" s="12" t="str">
        <f aca="false">IF(A58="","",A58+2)</f>
        <v/>
      </c>
      <c r="I58" s="13" t="str">
        <f aca="true">IF(A58="","",IF(AND(OR(F58="New",F58="Replied",F58="Quote sent"),TODAY()&gt;=H58),"Yes",""))</f>
        <v/>
      </c>
      <c r="J58" s="14"/>
    </row>
    <row r="59" customFormat="false" ht="15" hidden="false" customHeight="false" outlineLevel="0" collapsed="false">
      <c r="A59" s="15"/>
      <c r="B59" s="14"/>
      <c r="C59" s="14"/>
      <c r="D59" s="14"/>
      <c r="E59" s="14"/>
      <c r="F59" s="14"/>
      <c r="G59" s="16"/>
      <c r="H59" s="12" t="str">
        <f aca="false">IF(A59="","",A59+2)</f>
        <v/>
      </c>
      <c r="I59" s="13" t="str">
        <f aca="true">IF(A59="","",IF(AND(OR(F59="New",F59="Replied",F59="Quote sent"),TODAY()&gt;=H59),"Yes",""))</f>
        <v/>
      </c>
      <c r="J59" s="14"/>
    </row>
    <row r="60" customFormat="false" ht="15" hidden="false" customHeight="false" outlineLevel="0" collapsed="false">
      <c r="A60" s="15"/>
      <c r="B60" s="14"/>
      <c r="C60" s="14"/>
      <c r="D60" s="14"/>
      <c r="E60" s="14"/>
      <c r="F60" s="14"/>
      <c r="G60" s="16"/>
      <c r="H60" s="12" t="str">
        <f aca="false">IF(A60="","",A60+2)</f>
        <v/>
      </c>
      <c r="I60" s="13" t="str">
        <f aca="true">IF(A60="","",IF(AND(OR(F60="New",F60="Replied",F60="Quote sent"),TODAY()&gt;=H60),"Yes",""))</f>
        <v/>
      </c>
      <c r="J60" s="14"/>
    </row>
    <row r="61" customFormat="false" ht="15" hidden="false" customHeight="false" outlineLevel="0" collapsed="false">
      <c r="A61" s="15"/>
      <c r="B61" s="14"/>
      <c r="C61" s="14"/>
      <c r="D61" s="14"/>
      <c r="E61" s="14"/>
      <c r="F61" s="14"/>
      <c r="G61" s="16"/>
      <c r="H61" s="12" t="str">
        <f aca="false">IF(A61="","",A61+2)</f>
        <v/>
      </c>
      <c r="I61" s="13" t="str">
        <f aca="true">IF(A61="","",IF(AND(OR(F61="New",F61="Replied",F61="Quote sent"),TODAY()&gt;=H61),"Yes",""))</f>
        <v/>
      </c>
      <c r="J61" s="14"/>
    </row>
    <row r="62" customFormat="false" ht="15" hidden="false" customHeight="false" outlineLevel="0" collapsed="false">
      <c r="A62" s="15"/>
      <c r="B62" s="14"/>
      <c r="C62" s="14"/>
      <c r="D62" s="14"/>
      <c r="E62" s="14"/>
      <c r="F62" s="14"/>
      <c r="G62" s="16"/>
      <c r="H62" s="12" t="str">
        <f aca="false">IF(A62="","",A62+2)</f>
        <v/>
      </c>
      <c r="I62" s="13" t="str">
        <f aca="true">IF(A62="","",IF(AND(OR(F62="New",F62="Replied",F62="Quote sent"),TODAY()&gt;=H62),"Yes",""))</f>
        <v/>
      </c>
      <c r="J62" s="14"/>
    </row>
    <row r="63" customFormat="false" ht="15" hidden="false" customHeight="false" outlineLevel="0" collapsed="false">
      <c r="A63" s="15"/>
      <c r="B63" s="14"/>
      <c r="C63" s="14"/>
      <c r="D63" s="14"/>
      <c r="E63" s="14"/>
      <c r="F63" s="14"/>
      <c r="G63" s="16"/>
      <c r="H63" s="12" t="str">
        <f aca="false">IF(A63="","",A63+2)</f>
        <v/>
      </c>
      <c r="I63" s="13" t="str">
        <f aca="true">IF(A63="","",IF(AND(OR(F63="New",F63="Replied",F63="Quote sent"),TODAY()&gt;=H63),"Yes",""))</f>
        <v/>
      </c>
      <c r="J63" s="14"/>
    </row>
    <row r="64" customFormat="false" ht="15" hidden="false" customHeight="false" outlineLevel="0" collapsed="false">
      <c r="A64" s="15"/>
      <c r="B64" s="14"/>
      <c r="C64" s="14"/>
      <c r="D64" s="14"/>
      <c r="E64" s="14"/>
      <c r="F64" s="14"/>
      <c r="G64" s="16"/>
      <c r="H64" s="12" t="str">
        <f aca="false">IF(A64="","",A64+2)</f>
        <v/>
      </c>
      <c r="I64" s="13" t="str">
        <f aca="true">IF(A64="","",IF(AND(OR(F64="New",F64="Replied",F64="Quote sent"),TODAY()&gt;=H64),"Yes",""))</f>
        <v/>
      </c>
      <c r="J64" s="14"/>
    </row>
    <row r="65" customFormat="false" ht="15" hidden="false" customHeight="false" outlineLevel="0" collapsed="false">
      <c r="A65" s="15"/>
      <c r="B65" s="14"/>
      <c r="C65" s="14"/>
      <c r="D65" s="14"/>
      <c r="E65" s="14"/>
      <c r="F65" s="14"/>
      <c r="G65" s="16"/>
      <c r="H65" s="12" t="str">
        <f aca="false">IF(A65="","",A65+2)</f>
        <v/>
      </c>
      <c r="I65" s="13" t="str">
        <f aca="true">IF(A65="","",IF(AND(OR(F65="New",F65="Replied",F65="Quote sent"),TODAY()&gt;=H65),"Yes",""))</f>
        <v/>
      </c>
      <c r="J65" s="14"/>
    </row>
    <row r="66" customFormat="false" ht="15" hidden="false" customHeight="false" outlineLevel="0" collapsed="false">
      <c r="A66" s="15"/>
      <c r="B66" s="14"/>
      <c r="C66" s="14"/>
      <c r="D66" s="14"/>
      <c r="E66" s="14"/>
      <c r="F66" s="14"/>
      <c r="G66" s="16"/>
      <c r="H66" s="12" t="str">
        <f aca="false">IF(A66="","",A66+2)</f>
        <v/>
      </c>
      <c r="I66" s="13" t="str">
        <f aca="true">IF(A66="","",IF(AND(OR(F66="New",F66="Replied",F66="Quote sent"),TODAY()&gt;=H66),"Yes",""))</f>
        <v/>
      </c>
      <c r="J66" s="14"/>
    </row>
    <row r="67" customFormat="false" ht="15" hidden="false" customHeight="false" outlineLevel="0" collapsed="false">
      <c r="A67" s="15"/>
      <c r="B67" s="14"/>
      <c r="C67" s="14"/>
      <c r="D67" s="14"/>
      <c r="E67" s="14"/>
      <c r="F67" s="14"/>
      <c r="G67" s="16"/>
      <c r="H67" s="12" t="str">
        <f aca="false">IF(A67="","",A67+2)</f>
        <v/>
      </c>
      <c r="I67" s="13" t="str">
        <f aca="true">IF(A67="","",IF(AND(OR(F67="New",F67="Replied",F67="Quote sent"),TODAY()&gt;=H67),"Yes",""))</f>
        <v/>
      </c>
      <c r="J67" s="14"/>
    </row>
    <row r="68" customFormat="false" ht="15" hidden="false" customHeight="false" outlineLevel="0" collapsed="false">
      <c r="A68" s="15"/>
      <c r="B68" s="14"/>
      <c r="C68" s="14"/>
      <c r="D68" s="14"/>
      <c r="E68" s="14"/>
      <c r="F68" s="14"/>
      <c r="G68" s="16"/>
      <c r="H68" s="12" t="str">
        <f aca="false">IF(A68="","",A68+2)</f>
        <v/>
      </c>
      <c r="I68" s="13" t="str">
        <f aca="true">IF(A68="","",IF(AND(OR(F68="New",F68="Replied",F68="Quote sent"),TODAY()&gt;=H68),"Yes",""))</f>
        <v/>
      </c>
      <c r="J68" s="14"/>
    </row>
    <row r="69" customFormat="false" ht="15" hidden="false" customHeight="false" outlineLevel="0" collapsed="false">
      <c r="A69" s="15"/>
      <c r="B69" s="14"/>
      <c r="C69" s="14"/>
      <c r="D69" s="14"/>
      <c r="E69" s="14"/>
      <c r="F69" s="14"/>
      <c r="G69" s="16"/>
      <c r="H69" s="12" t="str">
        <f aca="false">IF(A69="","",A69+2)</f>
        <v/>
      </c>
      <c r="I69" s="13" t="str">
        <f aca="true">IF(A69="","",IF(AND(OR(F69="New",F69="Replied",F69="Quote sent"),TODAY()&gt;=H69),"Yes",""))</f>
        <v/>
      </c>
      <c r="J69" s="14"/>
    </row>
    <row r="70" customFormat="false" ht="15" hidden="false" customHeight="false" outlineLevel="0" collapsed="false">
      <c r="A70" s="15"/>
      <c r="B70" s="14"/>
      <c r="C70" s="14"/>
      <c r="D70" s="14"/>
      <c r="E70" s="14"/>
      <c r="F70" s="14"/>
      <c r="G70" s="16"/>
      <c r="H70" s="12" t="str">
        <f aca="false">IF(A70="","",A70+2)</f>
        <v/>
      </c>
      <c r="I70" s="13" t="str">
        <f aca="true">IF(A70="","",IF(AND(OR(F70="New",F70="Replied",F70="Quote sent"),TODAY()&gt;=H70),"Yes",""))</f>
        <v/>
      </c>
      <c r="J70" s="14"/>
    </row>
    <row r="71" customFormat="false" ht="15" hidden="false" customHeight="false" outlineLevel="0" collapsed="false">
      <c r="A71" s="15"/>
      <c r="B71" s="14"/>
      <c r="C71" s="14"/>
      <c r="D71" s="14"/>
      <c r="E71" s="14"/>
      <c r="F71" s="14"/>
      <c r="G71" s="16"/>
      <c r="H71" s="12" t="str">
        <f aca="false">IF(A71="","",A71+2)</f>
        <v/>
      </c>
      <c r="I71" s="13" t="str">
        <f aca="true">IF(A71="","",IF(AND(OR(F71="New",F71="Replied",F71="Quote sent"),TODAY()&gt;=H71),"Yes",""))</f>
        <v/>
      </c>
      <c r="J71" s="14"/>
    </row>
    <row r="72" customFormat="false" ht="15" hidden="false" customHeight="false" outlineLevel="0" collapsed="false">
      <c r="A72" s="15"/>
      <c r="B72" s="14"/>
      <c r="C72" s="14"/>
      <c r="D72" s="14"/>
      <c r="E72" s="14"/>
      <c r="F72" s="14"/>
      <c r="G72" s="16"/>
      <c r="H72" s="12" t="str">
        <f aca="false">IF(A72="","",A72+2)</f>
        <v/>
      </c>
      <c r="I72" s="13" t="str">
        <f aca="true">IF(A72="","",IF(AND(OR(F72="New",F72="Replied",F72="Quote sent"),TODAY()&gt;=H72),"Yes",""))</f>
        <v/>
      </c>
      <c r="J72" s="14"/>
    </row>
    <row r="73" customFormat="false" ht="15" hidden="false" customHeight="false" outlineLevel="0" collapsed="false">
      <c r="A73" s="15"/>
      <c r="B73" s="14"/>
      <c r="C73" s="14"/>
      <c r="D73" s="14"/>
      <c r="E73" s="14"/>
      <c r="F73" s="14"/>
      <c r="G73" s="16"/>
      <c r="H73" s="12" t="str">
        <f aca="false">IF(A73="","",A73+2)</f>
        <v/>
      </c>
      <c r="I73" s="13" t="str">
        <f aca="true">IF(A73="","",IF(AND(OR(F73="New",F73="Replied",F73="Quote sent"),TODAY()&gt;=H73),"Yes",""))</f>
        <v/>
      </c>
      <c r="J73" s="14"/>
    </row>
    <row r="74" customFormat="false" ht="15" hidden="false" customHeight="false" outlineLevel="0" collapsed="false">
      <c r="A74" s="15"/>
      <c r="B74" s="14"/>
      <c r="C74" s="14"/>
      <c r="D74" s="14"/>
      <c r="E74" s="14"/>
      <c r="F74" s="14"/>
      <c r="G74" s="16"/>
      <c r="H74" s="12" t="str">
        <f aca="false">IF(A74="","",A74+2)</f>
        <v/>
      </c>
      <c r="I74" s="13" t="str">
        <f aca="true">IF(A74="","",IF(AND(OR(F74="New",F74="Replied",F74="Quote sent"),TODAY()&gt;=H74),"Yes",""))</f>
        <v/>
      </c>
      <c r="J74" s="14"/>
    </row>
    <row r="75" customFormat="false" ht="15" hidden="false" customHeight="false" outlineLevel="0" collapsed="false">
      <c r="A75" s="15"/>
      <c r="B75" s="14"/>
      <c r="C75" s="14"/>
      <c r="D75" s="14"/>
      <c r="E75" s="14"/>
      <c r="F75" s="14"/>
      <c r="G75" s="16"/>
      <c r="H75" s="12" t="str">
        <f aca="false">IF(A75="","",A75+2)</f>
        <v/>
      </c>
      <c r="I75" s="13" t="str">
        <f aca="true">IF(A75="","",IF(AND(OR(F75="New",F75="Replied",F75="Quote sent"),TODAY()&gt;=H75),"Yes",""))</f>
        <v/>
      </c>
      <c r="J75" s="14"/>
    </row>
    <row r="76" customFormat="false" ht="15" hidden="false" customHeight="false" outlineLevel="0" collapsed="false">
      <c r="A76" s="15"/>
      <c r="B76" s="14"/>
      <c r="C76" s="14"/>
      <c r="D76" s="14"/>
      <c r="E76" s="14"/>
      <c r="F76" s="14"/>
      <c r="G76" s="16"/>
      <c r="H76" s="12" t="str">
        <f aca="false">IF(A76="","",A76+2)</f>
        <v/>
      </c>
      <c r="I76" s="13" t="str">
        <f aca="true">IF(A76="","",IF(AND(OR(F76="New",F76="Replied",F76="Quote sent"),TODAY()&gt;=H76),"Yes",""))</f>
        <v/>
      </c>
      <c r="J76" s="14"/>
    </row>
    <row r="77" customFormat="false" ht="15" hidden="false" customHeight="false" outlineLevel="0" collapsed="false">
      <c r="A77" s="15"/>
      <c r="B77" s="14"/>
      <c r="C77" s="14"/>
      <c r="D77" s="14"/>
      <c r="E77" s="14"/>
      <c r="F77" s="14"/>
      <c r="G77" s="16"/>
      <c r="H77" s="12" t="str">
        <f aca="false">IF(A77="","",A77+2)</f>
        <v/>
      </c>
      <c r="I77" s="13" t="str">
        <f aca="true">IF(A77="","",IF(AND(OR(F77="New",F77="Replied",F77="Quote sent"),TODAY()&gt;=H77),"Yes",""))</f>
        <v/>
      </c>
      <c r="J77" s="14"/>
    </row>
    <row r="78" customFormat="false" ht="15" hidden="false" customHeight="false" outlineLevel="0" collapsed="false">
      <c r="A78" s="15"/>
      <c r="B78" s="14"/>
      <c r="C78" s="14"/>
      <c r="D78" s="14"/>
      <c r="E78" s="14"/>
      <c r="F78" s="14"/>
      <c r="G78" s="16"/>
      <c r="H78" s="12" t="str">
        <f aca="false">IF(A78="","",A78+2)</f>
        <v/>
      </c>
      <c r="I78" s="13" t="str">
        <f aca="true">IF(A78="","",IF(AND(OR(F78="New",F78="Replied",F78="Quote sent"),TODAY()&gt;=H78),"Yes",""))</f>
        <v/>
      </c>
      <c r="J78" s="14"/>
    </row>
    <row r="79" customFormat="false" ht="15" hidden="false" customHeight="false" outlineLevel="0" collapsed="false">
      <c r="A79" s="15"/>
      <c r="B79" s="14"/>
      <c r="C79" s="14"/>
      <c r="D79" s="14"/>
      <c r="E79" s="14"/>
      <c r="F79" s="14"/>
      <c r="G79" s="16"/>
      <c r="H79" s="12" t="str">
        <f aca="false">IF(A79="","",A79+2)</f>
        <v/>
      </c>
      <c r="I79" s="13" t="str">
        <f aca="true">IF(A79="","",IF(AND(OR(F79="New",F79="Replied",F79="Quote sent"),TODAY()&gt;=H79),"Yes",""))</f>
        <v/>
      </c>
      <c r="J79" s="14"/>
    </row>
    <row r="80" customFormat="false" ht="15" hidden="false" customHeight="false" outlineLevel="0" collapsed="false">
      <c r="A80" s="15"/>
      <c r="B80" s="14"/>
      <c r="C80" s="14"/>
      <c r="D80" s="14"/>
      <c r="E80" s="14"/>
      <c r="F80" s="14"/>
      <c r="G80" s="16"/>
      <c r="H80" s="12" t="str">
        <f aca="false">IF(A80="","",A80+2)</f>
        <v/>
      </c>
      <c r="I80" s="13" t="str">
        <f aca="true">IF(A80="","",IF(AND(OR(F80="New",F80="Replied",F80="Quote sent"),TODAY()&gt;=H80),"Yes",""))</f>
        <v/>
      </c>
      <c r="J80" s="14"/>
    </row>
    <row r="81" customFormat="false" ht="15" hidden="false" customHeight="false" outlineLevel="0" collapsed="false">
      <c r="A81" s="15"/>
      <c r="B81" s="14"/>
      <c r="C81" s="14"/>
      <c r="D81" s="14"/>
      <c r="E81" s="14"/>
      <c r="F81" s="14"/>
      <c r="G81" s="16"/>
      <c r="H81" s="12" t="str">
        <f aca="false">IF(A81="","",A81+2)</f>
        <v/>
      </c>
      <c r="I81" s="13" t="str">
        <f aca="true">IF(A81="","",IF(AND(OR(F81="New",F81="Replied",F81="Quote sent"),TODAY()&gt;=H81),"Yes",""))</f>
        <v/>
      </c>
      <c r="J81" s="14"/>
    </row>
    <row r="82" customFormat="false" ht="15" hidden="false" customHeight="false" outlineLevel="0" collapsed="false">
      <c r="A82" s="15"/>
      <c r="B82" s="14"/>
      <c r="C82" s="14"/>
      <c r="D82" s="14"/>
      <c r="E82" s="14"/>
      <c r="F82" s="14"/>
      <c r="G82" s="16"/>
      <c r="H82" s="12" t="str">
        <f aca="false">IF(A82="","",A82+2)</f>
        <v/>
      </c>
      <c r="I82" s="13" t="str">
        <f aca="true">IF(A82="","",IF(AND(OR(F82="New",F82="Replied",F82="Quote sent"),TODAY()&gt;=H82),"Yes",""))</f>
        <v/>
      </c>
      <c r="J82" s="14"/>
    </row>
    <row r="83" customFormat="false" ht="15" hidden="false" customHeight="false" outlineLevel="0" collapsed="false">
      <c r="A83" s="15"/>
      <c r="B83" s="14"/>
      <c r="C83" s="14"/>
      <c r="D83" s="14"/>
      <c r="E83" s="14"/>
      <c r="F83" s="14"/>
      <c r="G83" s="16"/>
      <c r="H83" s="12" t="str">
        <f aca="false">IF(A83="","",A83+2)</f>
        <v/>
      </c>
      <c r="I83" s="13" t="str">
        <f aca="true">IF(A83="","",IF(AND(OR(F83="New",F83="Replied",F83="Quote sent"),TODAY()&gt;=H83),"Yes",""))</f>
        <v/>
      </c>
      <c r="J83" s="14"/>
    </row>
    <row r="84" customFormat="false" ht="15" hidden="false" customHeight="false" outlineLevel="0" collapsed="false">
      <c r="A84" s="15"/>
      <c r="B84" s="14"/>
      <c r="C84" s="14"/>
      <c r="D84" s="14"/>
      <c r="E84" s="14"/>
      <c r="F84" s="14"/>
      <c r="G84" s="16"/>
      <c r="H84" s="12" t="str">
        <f aca="false">IF(A84="","",A84+2)</f>
        <v/>
      </c>
      <c r="I84" s="13" t="str">
        <f aca="true">IF(A84="","",IF(AND(OR(F84="New",F84="Replied",F84="Quote sent"),TODAY()&gt;=H84),"Yes",""))</f>
        <v/>
      </c>
      <c r="J84" s="14"/>
    </row>
    <row r="85" customFormat="false" ht="15" hidden="false" customHeight="false" outlineLevel="0" collapsed="false">
      <c r="A85" s="15"/>
      <c r="B85" s="14"/>
      <c r="C85" s="14"/>
      <c r="D85" s="14"/>
      <c r="E85" s="14"/>
      <c r="F85" s="14"/>
      <c r="G85" s="16"/>
      <c r="H85" s="12" t="str">
        <f aca="false">IF(A85="","",A85+2)</f>
        <v/>
      </c>
      <c r="I85" s="13" t="str">
        <f aca="true">IF(A85="","",IF(AND(OR(F85="New",F85="Replied",F85="Quote sent"),TODAY()&gt;=H85),"Yes",""))</f>
        <v/>
      </c>
      <c r="J85" s="14"/>
    </row>
    <row r="86" customFormat="false" ht="15" hidden="false" customHeight="false" outlineLevel="0" collapsed="false">
      <c r="A86" s="15"/>
      <c r="B86" s="14"/>
      <c r="C86" s="14"/>
      <c r="D86" s="14"/>
      <c r="E86" s="14"/>
      <c r="F86" s="14"/>
      <c r="G86" s="16"/>
      <c r="H86" s="12" t="str">
        <f aca="false">IF(A86="","",A86+2)</f>
        <v/>
      </c>
      <c r="I86" s="13" t="str">
        <f aca="true">IF(A86="","",IF(AND(OR(F86="New",F86="Replied",F86="Quote sent"),TODAY()&gt;=H86),"Yes",""))</f>
        <v/>
      </c>
      <c r="J86" s="14"/>
    </row>
    <row r="87" customFormat="false" ht="15" hidden="false" customHeight="false" outlineLevel="0" collapsed="false">
      <c r="A87" s="15"/>
      <c r="B87" s="14"/>
      <c r="C87" s="14"/>
      <c r="D87" s="14"/>
      <c r="E87" s="14"/>
      <c r="F87" s="14"/>
      <c r="G87" s="16"/>
      <c r="H87" s="12" t="str">
        <f aca="false">IF(A87="","",A87+2)</f>
        <v/>
      </c>
      <c r="I87" s="13" t="str">
        <f aca="true">IF(A87="","",IF(AND(OR(F87="New",F87="Replied",F87="Quote sent"),TODAY()&gt;=H87),"Yes",""))</f>
        <v/>
      </c>
      <c r="J87" s="14"/>
    </row>
    <row r="88" customFormat="false" ht="15" hidden="false" customHeight="false" outlineLevel="0" collapsed="false">
      <c r="A88" s="15"/>
      <c r="B88" s="14"/>
      <c r="C88" s="14"/>
      <c r="D88" s="14"/>
      <c r="E88" s="14"/>
      <c r="F88" s="14"/>
      <c r="G88" s="16"/>
      <c r="H88" s="12" t="str">
        <f aca="false">IF(A88="","",A88+2)</f>
        <v/>
      </c>
      <c r="I88" s="13" t="str">
        <f aca="true">IF(A88="","",IF(AND(OR(F88="New",F88="Replied",F88="Quote sent"),TODAY()&gt;=H88),"Yes",""))</f>
        <v/>
      </c>
      <c r="J88" s="14"/>
    </row>
    <row r="89" customFormat="false" ht="15" hidden="false" customHeight="false" outlineLevel="0" collapsed="false">
      <c r="A89" s="15"/>
      <c r="B89" s="14"/>
      <c r="C89" s="14"/>
      <c r="D89" s="14"/>
      <c r="E89" s="14"/>
      <c r="F89" s="14"/>
      <c r="G89" s="16"/>
      <c r="H89" s="12" t="str">
        <f aca="false">IF(A89="","",A89+2)</f>
        <v/>
      </c>
      <c r="I89" s="13" t="str">
        <f aca="true">IF(A89="","",IF(AND(OR(F89="New",F89="Replied",F89="Quote sent"),TODAY()&gt;=H89),"Yes",""))</f>
        <v/>
      </c>
      <c r="J89" s="14"/>
    </row>
    <row r="90" customFormat="false" ht="15" hidden="false" customHeight="false" outlineLevel="0" collapsed="false">
      <c r="A90" s="15"/>
      <c r="B90" s="14"/>
      <c r="C90" s="14"/>
      <c r="D90" s="14"/>
      <c r="E90" s="14"/>
      <c r="F90" s="14"/>
      <c r="G90" s="16"/>
      <c r="H90" s="12" t="str">
        <f aca="false">IF(A90="","",A90+2)</f>
        <v/>
      </c>
      <c r="I90" s="13" t="str">
        <f aca="true">IF(A90="","",IF(AND(OR(F90="New",F90="Replied",F90="Quote sent"),TODAY()&gt;=H90),"Yes",""))</f>
        <v/>
      </c>
      <c r="J90" s="14"/>
    </row>
    <row r="91" customFormat="false" ht="15" hidden="false" customHeight="false" outlineLevel="0" collapsed="false">
      <c r="A91" s="15"/>
      <c r="B91" s="14"/>
      <c r="C91" s="14"/>
      <c r="D91" s="14"/>
      <c r="E91" s="14"/>
      <c r="F91" s="14"/>
      <c r="G91" s="16"/>
      <c r="H91" s="12" t="str">
        <f aca="false">IF(A91="","",A91+2)</f>
        <v/>
      </c>
      <c r="I91" s="13" t="str">
        <f aca="true">IF(A91="","",IF(AND(OR(F91="New",F91="Replied",F91="Quote sent"),TODAY()&gt;=H91),"Yes",""))</f>
        <v/>
      </c>
      <c r="J91" s="14"/>
    </row>
    <row r="92" customFormat="false" ht="15" hidden="false" customHeight="false" outlineLevel="0" collapsed="false">
      <c r="A92" s="15"/>
      <c r="B92" s="14"/>
      <c r="C92" s="14"/>
      <c r="D92" s="14"/>
      <c r="E92" s="14"/>
      <c r="F92" s="14"/>
      <c r="G92" s="16"/>
      <c r="H92" s="12" t="str">
        <f aca="false">IF(A92="","",A92+2)</f>
        <v/>
      </c>
      <c r="I92" s="13" t="str">
        <f aca="true">IF(A92="","",IF(AND(OR(F92="New",F92="Replied",F92="Quote sent"),TODAY()&gt;=H92),"Yes",""))</f>
        <v/>
      </c>
      <c r="J92" s="14"/>
    </row>
    <row r="93" customFormat="false" ht="15" hidden="false" customHeight="false" outlineLevel="0" collapsed="false">
      <c r="A93" s="15"/>
      <c r="B93" s="14"/>
      <c r="C93" s="14"/>
      <c r="D93" s="14"/>
      <c r="E93" s="14"/>
      <c r="F93" s="14"/>
      <c r="G93" s="16"/>
      <c r="H93" s="12" t="str">
        <f aca="false">IF(A93="","",A93+2)</f>
        <v/>
      </c>
      <c r="I93" s="13" t="str">
        <f aca="true">IF(A93="","",IF(AND(OR(F93="New",F93="Replied",F93="Quote sent"),TODAY()&gt;=H93),"Yes",""))</f>
        <v/>
      </c>
      <c r="J93" s="14"/>
    </row>
    <row r="94" customFormat="false" ht="15" hidden="false" customHeight="false" outlineLevel="0" collapsed="false">
      <c r="A94" s="15"/>
      <c r="B94" s="14"/>
      <c r="C94" s="14"/>
      <c r="D94" s="14"/>
      <c r="E94" s="14"/>
      <c r="F94" s="14"/>
      <c r="G94" s="16"/>
      <c r="H94" s="12" t="str">
        <f aca="false">IF(A94="","",A94+2)</f>
        <v/>
      </c>
      <c r="I94" s="13" t="str">
        <f aca="true">IF(A94="","",IF(AND(OR(F94="New",F94="Replied",F94="Quote sent"),TODAY()&gt;=H94),"Yes",""))</f>
        <v/>
      </c>
      <c r="J94" s="14"/>
    </row>
    <row r="95" customFormat="false" ht="15" hidden="false" customHeight="false" outlineLevel="0" collapsed="false">
      <c r="A95" s="15"/>
      <c r="B95" s="14"/>
      <c r="C95" s="14"/>
      <c r="D95" s="14"/>
      <c r="E95" s="14"/>
      <c r="F95" s="14"/>
      <c r="G95" s="16"/>
      <c r="H95" s="12" t="str">
        <f aca="false">IF(A95="","",A95+2)</f>
        <v/>
      </c>
      <c r="I95" s="13" t="str">
        <f aca="true">IF(A95="","",IF(AND(OR(F95="New",F95="Replied",F95="Quote sent"),TODAY()&gt;=H95),"Yes",""))</f>
        <v/>
      </c>
      <c r="J95" s="14"/>
    </row>
    <row r="96" customFormat="false" ht="15" hidden="false" customHeight="false" outlineLevel="0" collapsed="false">
      <c r="A96" s="15"/>
      <c r="B96" s="14"/>
      <c r="C96" s="14"/>
      <c r="D96" s="14"/>
      <c r="E96" s="14"/>
      <c r="F96" s="14"/>
      <c r="G96" s="16"/>
      <c r="H96" s="12" t="str">
        <f aca="false">IF(A96="","",A96+2)</f>
        <v/>
      </c>
      <c r="I96" s="13" t="str">
        <f aca="true">IF(A96="","",IF(AND(OR(F96="New",F96="Replied",F96="Quote sent"),TODAY()&gt;=H96),"Yes",""))</f>
        <v/>
      </c>
      <c r="J96" s="14"/>
    </row>
    <row r="97" customFormat="false" ht="15" hidden="false" customHeight="false" outlineLevel="0" collapsed="false">
      <c r="A97" s="15"/>
      <c r="B97" s="14"/>
      <c r="C97" s="14"/>
      <c r="D97" s="14"/>
      <c r="E97" s="14"/>
      <c r="F97" s="14"/>
      <c r="G97" s="16"/>
      <c r="H97" s="12" t="str">
        <f aca="false">IF(A97="","",A97+2)</f>
        <v/>
      </c>
      <c r="I97" s="13" t="str">
        <f aca="true">IF(A97="","",IF(AND(OR(F97="New",F97="Replied",F97="Quote sent"),TODAY()&gt;=H97),"Yes",""))</f>
        <v/>
      </c>
      <c r="J97" s="14"/>
    </row>
    <row r="98" customFormat="false" ht="15" hidden="false" customHeight="false" outlineLevel="0" collapsed="false">
      <c r="A98" s="15"/>
      <c r="B98" s="14"/>
      <c r="C98" s="14"/>
      <c r="D98" s="14"/>
      <c r="E98" s="14"/>
      <c r="F98" s="14"/>
      <c r="G98" s="16"/>
      <c r="H98" s="12" t="str">
        <f aca="false">IF(A98="","",A98+2)</f>
        <v/>
      </c>
      <c r="I98" s="13" t="str">
        <f aca="true">IF(A98="","",IF(AND(OR(F98="New",F98="Replied",F98="Quote sent"),TODAY()&gt;=H98),"Yes",""))</f>
        <v/>
      </c>
      <c r="J98" s="14"/>
    </row>
    <row r="99" customFormat="false" ht="15" hidden="false" customHeight="false" outlineLevel="0" collapsed="false">
      <c r="A99" s="15"/>
      <c r="B99" s="14"/>
      <c r="C99" s="14"/>
      <c r="D99" s="14"/>
      <c r="E99" s="14"/>
      <c r="F99" s="14"/>
      <c r="G99" s="16"/>
      <c r="H99" s="12" t="str">
        <f aca="false">IF(A99="","",A99+2)</f>
        <v/>
      </c>
      <c r="I99" s="13" t="str">
        <f aca="true">IF(A99="","",IF(AND(OR(F99="New",F99="Replied",F99="Quote sent"),TODAY()&gt;=H99),"Yes",""))</f>
        <v/>
      </c>
      <c r="J99" s="14"/>
    </row>
    <row r="100" customFormat="false" ht="15" hidden="false" customHeight="false" outlineLevel="0" collapsed="false">
      <c r="A100" s="15"/>
      <c r="B100" s="14"/>
      <c r="C100" s="14"/>
      <c r="D100" s="14"/>
      <c r="E100" s="14"/>
      <c r="F100" s="14"/>
      <c r="G100" s="16"/>
      <c r="H100" s="12" t="str">
        <f aca="false">IF(A100="","",A100+2)</f>
        <v/>
      </c>
      <c r="I100" s="13" t="str">
        <f aca="true">IF(A100="","",IF(AND(OR(F100="New",F100="Replied",F100="Quote sent"),TODAY()&gt;=H100),"Yes",""))</f>
        <v/>
      </c>
      <c r="J100" s="14"/>
    </row>
    <row r="101" customFormat="false" ht="15" hidden="false" customHeight="false" outlineLevel="0" collapsed="false">
      <c r="A101" s="15"/>
      <c r="B101" s="14"/>
      <c r="C101" s="14"/>
      <c r="D101" s="14"/>
      <c r="E101" s="14"/>
      <c r="F101" s="14"/>
      <c r="G101" s="16"/>
      <c r="H101" s="12" t="str">
        <f aca="false">IF(A101="","",A101+2)</f>
        <v/>
      </c>
      <c r="I101" s="13" t="str">
        <f aca="true">IF(A101="","",IF(AND(OR(F101="New",F101="Replied",F101="Quote sent"),TODAY()&gt;=H101),"Yes",""))</f>
        <v/>
      </c>
      <c r="J101" s="14"/>
    </row>
    <row r="102" customFormat="false" ht="15" hidden="false" customHeight="false" outlineLevel="0" collapsed="false">
      <c r="A102" s="15"/>
      <c r="B102" s="14"/>
      <c r="C102" s="14"/>
      <c r="D102" s="14"/>
      <c r="E102" s="14"/>
      <c r="F102" s="14"/>
      <c r="G102" s="16"/>
      <c r="H102" s="12" t="str">
        <f aca="false">IF(A102="","",A102+2)</f>
        <v/>
      </c>
      <c r="I102" s="13" t="str">
        <f aca="true">IF(A102="","",IF(AND(OR(F102="New",F102="Replied",F102="Quote sent"),TODAY()&gt;=H102),"Yes",""))</f>
        <v/>
      </c>
      <c r="J102" s="14"/>
    </row>
    <row r="103" customFormat="false" ht="15" hidden="false" customHeight="false" outlineLevel="0" collapsed="false">
      <c r="A103" s="15"/>
      <c r="B103" s="14"/>
      <c r="C103" s="14"/>
      <c r="D103" s="14"/>
      <c r="E103" s="14"/>
      <c r="F103" s="14"/>
      <c r="G103" s="16"/>
      <c r="H103" s="12" t="str">
        <f aca="false">IF(A103="","",A103+2)</f>
        <v/>
      </c>
      <c r="I103" s="13" t="str">
        <f aca="true">IF(A103="","",IF(AND(OR(F103="New",F103="Replied",F103="Quote sent"),TODAY()&gt;=H103),"Yes",""))</f>
        <v/>
      </c>
      <c r="J103" s="14"/>
    </row>
    <row r="104" customFormat="false" ht="15" hidden="false" customHeight="false" outlineLevel="0" collapsed="false">
      <c r="A104" s="15"/>
      <c r="B104" s="14"/>
      <c r="C104" s="14"/>
      <c r="D104" s="14"/>
      <c r="E104" s="14"/>
      <c r="F104" s="14"/>
      <c r="G104" s="16"/>
      <c r="H104" s="12" t="str">
        <f aca="false">IF(A104="","",A104+2)</f>
        <v/>
      </c>
      <c r="I104" s="13" t="str">
        <f aca="true">IF(A104="","",IF(AND(OR(F104="New",F104="Replied",F104="Quote sent"),TODAY()&gt;=H104),"Yes",""))</f>
        <v/>
      </c>
      <c r="J104" s="14"/>
    </row>
    <row r="105" customFormat="false" ht="15" hidden="false" customHeight="false" outlineLevel="0" collapsed="false">
      <c r="A105" s="15"/>
      <c r="B105" s="14"/>
      <c r="C105" s="14"/>
      <c r="D105" s="14"/>
      <c r="E105" s="14"/>
      <c r="F105" s="14"/>
      <c r="G105" s="16"/>
      <c r="H105" s="12" t="str">
        <f aca="false">IF(A105="","",A105+2)</f>
        <v/>
      </c>
      <c r="I105" s="13" t="str">
        <f aca="true">IF(A105="","",IF(AND(OR(F105="New",F105="Replied",F105="Quote sent"),TODAY()&gt;=H105),"Yes",""))</f>
        <v/>
      </c>
      <c r="J105" s="14"/>
    </row>
    <row r="106" customFormat="false" ht="15" hidden="false" customHeight="false" outlineLevel="0" collapsed="false">
      <c r="A106" s="15"/>
      <c r="B106" s="14"/>
      <c r="C106" s="14"/>
      <c r="D106" s="14"/>
      <c r="E106" s="14"/>
      <c r="F106" s="14"/>
      <c r="G106" s="16"/>
      <c r="H106" s="12" t="str">
        <f aca="false">IF(A106="","",A106+2)</f>
        <v/>
      </c>
      <c r="I106" s="13" t="str">
        <f aca="true">IF(A106="","",IF(AND(OR(F106="New",F106="Replied",F106="Quote sent"),TODAY()&gt;=H106),"Yes",""))</f>
        <v/>
      </c>
      <c r="J106" s="14"/>
    </row>
    <row r="107" customFormat="false" ht="15" hidden="false" customHeight="false" outlineLevel="0" collapsed="false">
      <c r="A107" s="15"/>
      <c r="B107" s="14"/>
      <c r="C107" s="14"/>
      <c r="D107" s="14"/>
      <c r="E107" s="14"/>
      <c r="F107" s="14"/>
      <c r="G107" s="16"/>
      <c r="H107" s="12" t="str">
        <f aca="false">IF(A107="","",A107+2)</f>
        <v/>
      </c>
      <c r="I107" s="13" t="str">
        <f aca="true">IF(A107="","",IF(AND(OR(F107="New",F107="Replied",F107="Quote sent"),TODAY()&gt;=H107),"Yes",""))</f>
        <v/>
      </c>
      <c r="J107" s="14"/>
    </row>
    <row r="108" customFormat="false" ht="15" hidden="false" customHeight="false" outlineLevel="0" collapsed="false">
      <c r="A108" s="15"/>
      <c r="B108" s="14"/>
      <c r="C108" s="14"/>
      <c r="D108" s="14"/>
      <c r="E108" s="14"/>
      <c r="F108" s="14"/>
      <c r="G108" s="16"/>
      <c r="H108" s="12" t="str">
        <f aca="false">IF(A108="","",A108+2)</f>
        <v/>
      </c>
      <c r="I108" s="13" t="str">
        <f aca="true">IF(A108="","",IF(AND(OR(F108="New",F108="Replied",F108="Quote sent"),TODAY()&gt;=H108),"Yes",""))</f>
        <v/>
      </c>
      <c r="J108" s="14"/>
    </row>
    <row r="109" customFormat="false" ht="15" hidden="false" customHeight="false" outlineLevel="0" collapsed="false">
      <c r="A109" s="15"/>
      <c r="B109" s="14"/>
      <c r="C109" s="14"/>
      <c r="D109" s="14"/>
      <c r="E109" s="14"/>
      <c r="F109" s="14"/>
      <c r="G109" s="16"/>
      <c r="H109" s="12" t="str">
        <f aca="false">IF(A109="","",A109+2)</f>
        <v/>
      </c>
      <c r="I109" s="13" t="str">
        <f aca="true">IF(A109="","",IF(AND(OR(F109="New",F109="Replied",F109="Quote sent"),TODAY()&gt;=H109),"Yes",""))</f>
        <v/>
      </c>
      <c r="J109" s="14"/>
    </row>
    <row r="110" customFormat="false" ht="15" hidden="false" customHeight="false" outlineLevel="0" collapsed="false">
      <c r="A110" s="15"/>
      <c r="B110" s="14"/>
      <c r="C110" s="14"/>
      <c r="D110" s="14"/>
      <c r="E110" s="14"/>
      <c r="F110" s="14"/>
      <c r="G110" s="16"/>
      <c r="H110" s="12" t="str">
        <f aca="false">IF(A110="","",A110+2)</f>
        <v/>
      </c>
      <c r="I110" s="13" t="str">
        <f aca="true">IF(A110="","",IF(AND(OR(F110="New",F110="Replied",F110="Quote sent"),TODAY()&gt;=H110),"Yes",""))</f>
        <v/>
      </c>
      <c r="J110" s="14"/>
    </row>
    <row r="111" customFormat="false" ht="15" hidden="false" customHeight="false" outlineLevel="0" collapsed="false">
      <c r="A111" s="15"/>
      <c r="B111" s="14"/>
      <c r="C111" s="14"/>
      <c r="D111" s="14"/>
      <c r="E111" s="14"/>
      <c r="F111" s="14"/>
      <c r="G111" s="16"/>
      <c r="H111" s="12" t="str">
        <f aca="false">IF(A111="","",A111+2)</f>
        <v/>
      </c>
      <c r="I111" s="13" t="str">
        <f aca="true">IF(A111="","",IF(AND(OR(F111="New",F111="Replied",F111="Quote sent"),TODAY()&gt;=H111),"Yes",""))</f>
        <v/>
      </c>
      <c r="J111" s="14"/>
    </row>
    <row r="112" customFormat="false" ht="15" hidden="false" customHeight="false" outlineLevel="0" collapsed="false">
      <c r="A112" s="15"/>
      <c r="B112" s="14"/>
      <c r="C112" s="14"/>
      <c r="D112" s="14"/>
      <c r="E112" s="14"/>
      <c r="F112" s="14"/>
      <c r="G112" s="16"/>
      <c r="H112" s="12" t="str">
        <f aca="false">IF(A112="","",A112+2)</f>
        <v/>
      </c>
      <c r="I112" s="13" t="str">
        <f aca="true">IF(A112="","",IF(AND(OR(F112="New",F112="Replied",F112="Quote sent"),TODAY()&gt;=H112),"Yes",""))</f>
        <v/>
      </c>
      <c r="J112" s="14"/>
    </row>
    <row r="113" customFormat="false" ht="15" hidden="false" customHeight="false" outlineLevel="0" collapsed="false">
      <c r="A113" s="15"/>
      <c r="B113" s="14"/>
      <c r="C113" s="14"/>
      <c r="D113" s="14"/>
      <c r="E113" s="14"/>
      <c r="F113" s="14"/>
      <c r="G113" s="16"/>
      <c r="H113" s="12" t="str">
        <f aca="false">IF(A113="","",A113+2)</f>
        <v/>
      </c>
      <c r="I113" s="13" t="str">
        <f aca="true">IF(A113="","",IF(AND(OR(F113="New",F113="Replied",F113="Quote sent"),TODAY()&gt;=H113),"Yes",""))</f>
        <v/>
      </c>
      <c r="J113" s="14"/>
    </row>
    <row r="114" customFormat="false" ht="15" hidden="false" customHeight="false" outlineLevel="0" collapsed="false">
      <c r="A114" s="15"/>
      <c r="B114" s="14"/>
      <c r="C114" s="14"/>
      <c r="D114" s="14"/>
      <c r="E114" s="14"/>
      <c r="F114" s="14"/>
      <c r="G114" s="16"/>
      <c r="H114" s="12" t="str">
        <f aca="false">IF(A114="","",A114+2)</f>
        <v/>
      </c>
      <c r="I114" s="13" t="str">
        <f aca="true">IF(A114="","",IF(AND(OR(F114="New",F114="Replied",F114="Quote sent"),TODAY()&gt;=H114),"Yes",""))</f>
        <v/>
      </c>
      <c r="J114" s="14"/>
    </row>
    <row r="115" customFormat="false" ht="15" hidden="false" customHeight="false" outlineLevel="0" collapsed="false">
      <c r="A115" s="15"/>
      <c r="B115" s="14"/>
      <c r="C115" s="14"/>
      <c r="D115" s="14"/>
      <c r="E115" s="14"/>
      <c r="F115" s="14"/>
      <c r="G115" s="16"/>
      <c r="H115" s="12" t="str">
        <f aca="false">IF(A115="","",A115+2)</f>
        <v/>
      </c>
      <c r="I115" s="13" t="str">
        <f aca="true">IF(A115="","",IF(AND(OR(F115="New",F115="Replied",F115="Quote sent"),TODAY()&gt;=H115),"Yes",""))</f>
        <v/>
      </c>
      <c r="J115" s="14"/>
    </row>
    <row r="116" customFormat="false" ht="15" hidden="false" customHeight="false" outlineLevel="0" collapsed="false">
      <c r="A116" s="15"/>
      <c r="B116" s="14"/>
      <c r="C116" s="14"/>
      <c r="D116" s="14"/>
      <c r="E116" s="14"/>
      <c r="F116" s="14"/>
      <c r="G116" s="16"/>
      <c r="H116" s="12" t="str">
        <f aca="false">IF(A116="","",A116+2)</f>
        <v/>
      </c>
      <c r="I116" s="13" t="str">
        <f aca="true">IF(A116="","",IF(AND(OR(F116="New",F116="Replied",F116="Quote sent"),TODAY()&gt;=H116),"Yes",""))</f>
        <v/>
      </c>
      <c r="J116" s="14"/>
    </row>
    <row r="117" customFormat="false" ht="15" hidden="false" customHeight="false" outlineLevel="0" collapsed="false">
      <c r="A117" s="15"/>
      <c r="B117" s="14"/>
      <c r="C117" s="14"/>
      <c r="D117" s="14"/>
      <c r="E117" s="14"/>
      <c r="F117" s="14"/>
      <c r="G117" s="16"/>
      <c r="H117" s="12" t="str">
        <f aca="false">IF(A117="","",A117+2)</f>
        <v/>
      </c>
      <c r="I117" s="13" t="str">
        <f aca="true">IF(A117="","",IF(AND(OR(F117="New",F117="Replied",F117="Quote sent"),TODAY()&gt;=H117),"Yes",""))</f>
        <v/>
      </c>
      <c r="J117" s="14"/>
    </row>
    <row r="118" customFormat="false" ht="15" hidden="false" customHeight="false" outlineLevel="0" collapsed="false">
      <c r="A118" s="15"/>
      <c r="B118" s="14"/>
      <c r="C118" s="14"/>
      <c r="D118" s="14"/>
      <c r="E118" s="14"/>
      <c r="F118" s="14"/>
      <c r="G118" s="16"/>
      <c r="H118" s="12" t="str">
        <f aca="false">IF(A118="","",A118+2)</f>
        <v/>
      </c>
      <c r="I118" s="13" t="str">
        <f aca="true">IF(A118="","",IF(AND(OR(F118="New",F118="Replied",F118="Quote sent"),TODAY()&gt;=H118),"Yes",""))</f>
        <v/>
      </c>
      <c r="J118" s="14"/>
    </row>
    <row r="119" customFormat="false" ht="15" hidden="false" customHeight="false" outlineLevel="0" collapsed="false">
      <c r="A119" s="15"/>
      <c r="B119" s="14"/>
      <c r="C119" s="14"/>
      <c r="D119" s="14"/>
      <c r="E119" s="14"/>
      <c r="F119" s="14"/>
      <c r="G119" s="16"/>
      <c r="H119" s="12" t="str">
        <f aca="false">IF(A119="","",A119+2)</f>
        <v/>
      </c>
      <c r="I119" s="13" t="str">
        <f aca="true">IF(A119="","",IF(AND(OR(F119="New",F119="Replied",F119="Quote sent"),TODAY()&gt;=H119),"Yes",""))</f>
        <v/>
      </c>
      <c r="J119" s="14"/>
    </row>
    <row r="120" customFormat="false" ht="15" hidden="false" customHeight="false" outlineLevel="0" collapsed="false">
      <c r="A120" s="15"/>
      <c r="B120" s="14"/>
      <c r="C120" s="14"/>
      <c r="D120" s="14"/>
      <c r="E120" s="14"/>
      <c r="F120" s="14"/>
      <c r="G120" s="16"/>
      <c r="H120" s="12" t="str">
        <f aca="false">IF(A120="","",A120+2)</f>
        <v/>
      </c>
      <c r="I120" s="13" t="str">
        <f aca="true">IF(A120="","",IF(AND(OR(F120="New",F120="Replied",F120="Quote sent"),TODAY()&gt;=H120),"Yes",""))</f>
        <v/>
      </c>
      <c r="J120" s="14"/>
    </row>
    <row r="121" customFormat="false" ht="15" hidden="false" customHeight="false" outlineLevel="0" collapsed="false">
      <c r="A121" s="15"/>
      <c r="B121" s="14"/>
      <c r="C121" s="14"/>
      <c r="D121" s="14"/>
      <c r="E121" s="14"/>
      <c r="F121" s="14"/>
      <c r="G121" s="16"/>
      <c r="H121" s="12" t="str">
        <f aca="false">IF(A121="","",A121+2)</f>
        <v/>
      </c>
      <c r="I121" s="13" t="str">
        <f aca="true">IF(A121="","",IF(AND(OR(F121="New",F121="Replied",F121="Quote sent"),TODAY()&gt;=H121),"Yes",""))</f>
        <v/>
      </c>
      <c r="J121" s="14"/>
    </row>
    <row r="122" customFormat="false" ht="15" hidden="false" customHeight="false" outlineLevel="0" collapsed="false">
      <c r="A122" s="15"/>
      <c r="B122" s="14"/>
      <c r="C122" s="14"/>
      <c r="D122" s="14"/>
      <c r="E122" s="14"/>
      <c r="F122" s="14"/>
      <c r="G122" s="16"/>
      <c r="H122" s="12" t="str">
        <f aca="false">IF(A122="","",A122+2)</f>
        <v/>
      </c>
      <c r="I122" s="13" t="str">
        <f aca="true">IF(A122="","",IF(AND(OR(F122="New",F122="Replied",F122="Quote sent"),TODAY()&gt;=H122),"Yes",""))</f>
        <v/>
      </c>
      <c r="J122" s="14"/>
    </row>
    <row r="123" customFormat="false" ht="15" hidden="false" customHeight="false" outlineLevel="0" collapsed="false">
      <c r="A123" s="15"/>
      <c r="B123" s="14"/>
      <c r="C123" s="14"/>
      <c r="D123" s="14"/>
      <c r="E123" s="14"/>
      <c r="F123" s="14"/>
      <c r="G123" s="16"/>
      <c r="H123" s="12" t="str">
        <f aca="false">IF(A123="","",A123+2)</f>
        <v/>
      </c>
      <c r="I123" s="13" t="str">
        <f aca="true">IF(A123="","",IF(AND(OR(F123="New",F123="Replied",F123="Quote sent"),TODAY()&gt;=H123),"Yes",""))</f>
        <v/>
      </c>
      <c r="J123" s="14"/>
    </row>
    <row r="124" customFormat="false" ht="15" hidden="false" customHeight="false" outlineLevel="0" collapsed="false">
      <c r="A124" s="15"/>
      <c r="B124" s="14"/>
      <c r="C124" s="14"/>
      <c r="D124" s="14"/>
      <c r="E124" s="14"/>
      <c r="F124" s="14"/>
      <c r="G124" s="16"/>
      <c r="H124" s="12" t="str">
        <f aca="false">IF(A124="","",A124+2)</f>
        <v/>
      </c>
      <c r="I124" s="13" t="str">
        <f aca="true">IF(A124="","",IF(AND(OR(F124="New",F124="Replied",F124="Quote sent"),TODAY()&gt;=H124),"Yes",""))</f>
        <v/>
      </c>
      <c r="J124" s="14"/>
    </row>
    <row r="125" customFormat="false" ht="15" hidden="false" customHeight="false" outlineLevel="0" collapsed="false">
      <c r="A125" s="15"/>
      <c r="B125" s="14"/>
      <c r="C125" s="14"/>
      <c r="D125" s="14"/>
      <c r="E125" s="14"/>
      <c r="F125" s="14"/>
      <c r="G125" s="16"/>
      <c r="H125" s="12" t="str">
        <f aca="false">IF(A125="","",A125+2)</f>
        <v/>
      </c>
      <c r="I125" s="13" t="str">
        <f aca="true">IF(A125="","",IF(AND(OR(F125="New",F125="Replied",F125="Quote sent"),TODAY()&gt;=H125),"Yes",""))</f>
        <v/>
      </c>
      <c r="J125" s="14"/>
    </row>
    <row r="126" customFormat="false" ht="15" hidden="false" customHeight="false" outlineLevel="0" collapsed="false">
      <c r="A126" s="15"/>
      <c r="B126" s="14"/>
      <c r="C126" s="14"/>
      <c r="D126" s="14"/>
      <c r="E126" s="14"/>
      <c r="F126" s="14"/>
      <c r="G126" s="16"/>
      <c r="H126" s="12" t="str">
        <f aca="false">IF(A126="","",A126+2)</f>
        <v/>
      </c>
      <c r="I126" s="13" t="str">
        <f aca="true">IF(A126="","",IF(AND(OR(F126="New",F126="Replied",F126="Quote sent"),TODAY()&gt;=H126),"Yes",""))</f>
        <v/>
      </c>
      <c r="J126" s="14"/>
    </row>
    <row r="127" customFormat="false" ht="15" hidden="false" customHeight="false" outlineLevel="0" collapsed="false">
      <c r="A127" s="15"/>
      <c r="B127" s="14"/>
      <c r="C127" s="14"/>
      <c r="D127" s="14"/>
      <c r="E127" s="14"/>
      <c r="F127" s="14"/>
      <c r="G127" s="16"/>
      <c r="H127" s="12" t="str">
        <f aca="false">IF(A127="","",A127+2)</f>
        <v/>
      </c>
      <c r="I127" s="13" t="str">
        <f aca="true">IF(A127="","",IF(AND(OR(F127="New",F127="Replied",F127="Quote sent"),TODAY()&gt;=H127),"Yes",""))</f>
        <v/>
      </c>
      <c r="J127" s="14"/>
    </row>
    <row r="128" customFormat="false" ht="15" hidden="false" customHeight="false" outlineLevel="0" collapsed="false">
      <c r="A128" s="15"/>
      <c r="B128" s="14"/>
      <c r="C128" s="14"/>
      <c r="D128" s="14"/>
      <c r="E128" s="14"/>
      <c r="F128" s="14"/>
      <c r="G128" s="16"/>
      <c r="H128" s="12" t="str">
        <f aca="false">IF(A128="","",A128+2)</f>
        <v/>
      </c>
      <c r="I128" s="13" t="str">
        <f aca="true">IF(A128="","",IF(AND(OR(F128="New",F128="Replied",F128="Quote sent"),TODAY()&gt;=H128),"Yes",""))</f>
        <v/>
      </c>
      <c r="J128" s="14"/>
    </row>
    <row r="129" customFormat="false" ht="15" hidden="false" customHeight="false" outlineLevel="0" collapsed="false">
      <c r="A129" s="15"/>
      <c r="B129" s="14"/>
      <c r="C129" s="14"/>
      <c r="D129" s="14"/>
      <c r="E129" s="14"/>
      <c r="F129" s="14"/>
      <c r="G129" s="16"/>
      <c r="H129" s="12" t="str">
        <f aca="false">IF(A129="","",A129+2)</f>
        <v/>
      </c>
      <c r="I129" s="13" t="str">
        <f aca="true">IF(A129="","",IF(AND(OR(F129="New",F129="Replied",F129="Quote sent"),TODAY()&gt;=H129),"Yes",""))</f>
        <v/>
      </c>
      <c r="J129" s="14"/>
    </row>
    <row r="130" customFormat="false" ht="15" hidden="false" customHeight="false" outlineLevel="0" collapsed="false">
      <c r="A130" s="15"/>
      <c r="B130" s="14"/>
      <c r="C130" s="14"/>
      <c r="D130" s="14"/>
      <c r="E130" s="14"/>
      <c r="F130" s="14"/>
      <c r="G130" s="16"/>
      <c r="H130" s="12" t="str">
        <f aca="false">IF(A130="","",A130+2)</f>
        <v/>
      </c>
      <c r="I130" s="13" t="str">
        <f aca="true">IF(A130="","",IF(AND(OR(F130="New",F130="Replied",F130="Quote sent"),TODAY()&gt;=H130),"Yes",""))</f>
        <v/>
      </c>
      <c r="J130" s="14"/>
    </row>
    <row r="131" customFormat="false" ht="15" hidden="false" customHeight="false" outlineLevel="0" collapsed="false">
      <c r="A131" s="15"/>
      <c r="B131" s="14"/>
      <c r="C131" s="14"/>
      <c r="D131" s="14"/>
      <c r="E131" s="14"/>
      <c r="F131" s="14"/>
      <c r="G131" s="16"/>
      <c r="H131" s="12" t="str">
        <f aca="false">IF(A131="","",A131+2)</f>
        <v/>
      </c>
      <c r="I131" s="13" t="str">
        <f aca="true">IF(A131="","",IF(AND(OR(F131="New",F131="Replied",F131="Quote sent"),TODAY()&gt;=H131),"Yes",""))</f>
        <v/>
      </c>
      <c r="J131" s="14"/>
    </row>
    <row r="132" customFormat="false" ht="15" hidden="false" customHeight="false" outlineLevel="0" collapsed="false">
      <c r="A132" s="15"/>
      <c r="B132" s="14"/>
      <c r="C132" s="14"/>
      <c r="D132" s="14"/>
      <c r="E132" s="14"/>
      <c r="F132" s="14"/>
      <c r="G132" s="16"/>
      <c r="H132" s="12" t="str">
        <f aca="false">IF(A132="","",A132+2)</f>
        <v/>
      </c>
      <c r="I132" s="13" t="str">
        <f aca="true">IF(A132="","",IF(AND(OR(F132="New",F132="Replied",F132="Quote sent"),TODAY()&gt;=H132),"Yes",""))</f>
        <v/>
      </c>
      <c r="J132" s="14"/>
    </row>
    <row r="133" customFormat="false" ht="15" hidden="false" customHeight="false" outlineLevel="0" collapsed="false">
      <c r="A133" s="15"/>
      <c r="B133" s="14"/>
      <c r="C133" s="14"/>
      <c r="D133" s="14"/>
      <c r="E133" s="14"/>
      <c r="F133" s="14"/>
      <c r="G133" s="16"/>
      <c r="H133" s="12" t="str">
        <f aca="false">IF(A133="","",A133+2)</f>
        <v/>
      </c>
      <c r="I133" s="13" t="str">
        <f aca="true">IF(A133="","",IF(AND(OR(F133="New",F133="Replied",F133="Quote sent"),TODAY()&gt;=H133),"Yes",""))</f>
        <v/>
      </c>
      <c r="J133" s="14"/>
    </row>
    <row r="134" customFormat="false" ht="15" hidden="false" customHeight="false" outlineLevel="0" collapsed="false">
      <c r="A134" s="15"/>
      <c r="B134" s="14"/>
      <c r="C134" s="14"/>
      <c r="D134" s="14"/>
      <c r="E134" s="14"/>
      <c r="F134" s="14"/>
      <c r="G134" s="16"/>
      <c r="H134" s="12" t="str">
        <f aca="false">IF(A134="","",A134+2)</f>
        <v/>
      </c>
      <c r="I134" s="13" t="str">
        <f aca="true">IF(A134="","",IF(AND(OR(F134="New",F134="Replied",F134="Quote sent"),TODAY()&gt;=H134),"Yes",""))</f>
        <v/>
      </c>
      <c r="J134" s="14"/>
    </row>
    <row r="135" customFormat="false" ht="15" hidden="false" customHeight="false" outlineLevel="0" collapsed="false">
      <c r="A135" s="15"/>
      <c r="B135" s="14"/>
      <c r="C135" s="14"/>
      <c r="D135" s="14"/>
      <c r="E135" s="14"/>
      <c r="F135" s="14"/>
      <c r="G135" s="16"/>
      <c r="H135" s="12" t="str">
        <f aca="false">IF(A135="","",A135+2)</f>
        <v/>
      </c>
      <c r="I135" s="13" t="str">
        <f aca="true">IF(A135="","",IF(AND(OR(F135="New",F135="Replied",F135="Quote sent"),TODAY()&gt;=H135),"Yes",""))</f>
        <v/>
      </c>
      <c r="J135" s="14"/>
    </row>
    <row r="136" customFormat="false" ht="15" hidden="false" customHeight="false" outlineLevel="0" collapsed="false">
      <c r="A136" s="15"/>
      <c r="B136" s="14"/>
      <c r="C136" s="14"/>
      <c r="D136" s="14"/>
      <c r="E136" s="14"/>
      <c r="F136" s="14"/>
      <c r="G136" s="16"/>
      <c r="H136" s="12" t="str">
        <f aca="false">IF(A136="","",A136+2)</f>
        <v/>
      </c>
      <c r="I136" s="13" t="str">
        <f aca="true">IF(A136="","",IF(AND(OR(F136="New",F136="Replied",F136="Quote sent"),TODAY()&gt;=H136),"Yes",""))</f>
        <v/>
      </c>
      <c r="J136" s="14"/>
    </row>
    <row r="137" customFormat="false" ht="15" hidden="false" customHeight="false" outlineLevel="0" collapsed="false">
      <c r="A137" s="15"/>
      <c r="B137" s="14"/>
      <c r="C137" s="14"/>
      <c r="D137" s="14"/>
      <c r="E137" s="14"/>
      <c r="F137" s="14"/>
      <c r="G137" s="16"/>
      <c r="H137" s="12" t="str">
        <f aca="false">IF(A137="","",A137+2)</f>
        <v/>
      </c>
      <c r="I137" s="13" t="str">
        <f aca="true">IF(A137="","",IF(AND(OR(F137="New",F137="Replied",F137="Quote sent"),TODAY()&gt;=H137),"Yes",""))</f>
        <v/>
      </c>
      <c r="J137" s="14"/>
    </row>
    <row r="138" customFormat="false" ht="15" hidden="false" customHeight="false" outlineLevel="0" collapsed="false">
      <c r="A138" s="15"/>
      <c r="B138" s="14"/>
      <c r="C138" s="14"/>
      <c r="D138" s="14"/>
      <c r="E138" s="14"/>
      <c r="F138" s="14"/>
      <c r="G138" s="16"/>
      <c r="H138" s="12" t="str">
        <f aca="false">IF(A138="","",A138+2)</f>
        <v/>
      </c>
      <c r="I138" s="13" t="str">
        <f aca="true">IF(A138="","",IF(AND(OR(F138="New",F138="Replied",F138="Quote sent"),TODAY()&gt;=H138),"Yes",""))</f>
        <v/>
      </c>
      <c r="J138" s="14"/>
    </row>
    <row r="139" customFormat="false" ht="15" hidden="false" customHeight="false" outlineLevel="0" collapsed="false">
      <c r="A139" s="15"/>
      <c r="B139" s="14"/>
      <c r="C139" s="14"/>
      <c r="D139" s="14"/>
      <c r="E139" s="14"/>
      <c r="F139" s="14"/>
      <c r="G139" s="16"/>
      <c r="H139" s="12" t="str">
        <f aca="false">IF(A139="","",A139+2)</f>
        <v/>
      </c>
      <c r="I139" s="13" t="str">
        <f aca="true">IF(A139="","",IF(AND(OR(F139="New",F139="Replied",F139="Quote sent"),TODAY()&gt;=H139),"Yes",""))</f>
        <v/>
      </c>
      <c r="J139" s="14"/>
    </row>
    <row r="140" customFormat="false" ht="15" hidden="false" customHeight="false" outlineLevel="0" collapsed="false">
      <c r="A140" s="15"/>
      <c r="B140" s="14"/>
      <c r="C140" s="14"/>
      <c r="D140" s="14"/>
      <c r="E140" s="14"/>
      <c r="F140" s="14"/>
      <c r="G140" s="16"/>
      <c r="H140" s="12" t="str">
        <f aca="false">IF(A140="","",A140+2)</f>
        <v/>
      </c>
      <c r="I140" s="13" t="str">
        <f aca="true">IF(A140="","",IF(AND(OR(F140="New",F140="Replied",F140="Quote sent"),TODAY()&gt;=H140),"Yes",""))</f>
        <v/>
      </c>
      <c r="J140" s="14"/>
    </row>
    <row r="141" customFormat="false" ht="15" hidden="false" customHeight="false" outlineLevel="0" collapsed="false">
      <c r="A141" s="15"/>
      <c r="B141" s="14"/>
      <c r="C141" s="14"/>
      <c r="D141" s="14"/>
      <c r="E141" s="14"/>
      <c r="F141" s="14"/>
      <c r="G141" s="16"/>
      <c r="H141" s="12" t="str">
        <f aca="false">IF(A141="","",A141+2)</f>
        <v/>
      </c>
      <c r="I141" s="13" t="str">
        <f aca="true">IF(A141="","",IF(AND(OR(F141="New",F141="Replied",F141="Quote sent"),TODAY()&gt;=H141),"Yes",""))</f>
        <v/>
      </c>
      <c r="J141" s="14"/>
    </row>
    <row r="142" customFormat="false" ht="15" hidden="false" customHeight="false" outlineLevel="0" collapsed="false">
      <c r="A142" s="15"/>
      <c r="B142" s="14"/>
      <c r="C142" s="14"/>
      <c r="D142" s="14"/>
      <c r="E142" s="14"/>
      <c r="F142" s="14"/>
      <c r="G142" s="16"/>
      <c r="H142" s="12" t="str">
        <f aca="false">IF(A142="","",A142+2)</f>
        <v/>
      </c>
      <c r="I142" s="13" t="str">
        <f aca="true">IF(A142="","",IF(AND(OR(F142="New",F142="Replied",F142="Quote sent"),TODAY()&gt;=H142),"Yes",""))</f>
        <v/>
      </c>
      <c r="J142" s="14"/>
    </row>
    <row r="143" customFormat="false" ht="15" hidden="false" customHeight="false" outlineLevel="0" collapsed="false">
      <c r="A143" s="15"/>
      <c r="B143" s="14"/>
      <c r="C143" s="14"/>
      <c r="D143" s="14"/>
      <c r="E143" s="14"/>
      <c r="F143" s="14"/>
      <c r="G143" s="16"/>
      <c r="H143" s="12" t="str">
        <f aca="false">IF(A143="","",A143+2)</f>
        <v/>
      </c>
      <c r="I143" s="13" t="str">
        <f aca="true">IF(A143="","",IF(AND(OR(F143="New",F143="Replied",F143="Quote sent"),TODAY()&gt;=H143),"Yes",""))</f>
        <v/>
      </c>
      <c r="J143" s="14"/>
    </row>
    <row r="144" customFormat="false" ht="15" hidden="false" customHeight="false" outlineLevel="0" collapsed="false">
      <c r="A144" s="15"/>
      <c r="B144" s="14"/>
      <c r="C144" s="14"/>
      <c r="D144" s="14"/>
      <c r="E144" s="14"/>
      <c r="F144" s="14"/>
      <c r="G144" s="16"/>
      <c r="H144" s="12" t="str">
        <f aca="false">IF(A144="","",A144+2)</f>
        <v/>
      </c>
      <c r="I144" s="13" t="str">
        <f aca="true">IF(A144="","",IF(AND(OR(F144="New",F144="Replied",F144="Quote sent"),TODAY()&gt;=H144),"Yes",""))</f>
        <v/>
      </c>
      <c r="J144" s="14"/>
    </row>
    <row r="145" customFormat="false" ht="15" hidden="false" customHeight="false" outlineLevel="0" collapsed="false">
      <c r="A145" s="15"/>
      <c r="B145" s="14"/>
      <c r="C145" s="14"/>
      <c r="D145" s="14"/>
      <c r="E145" s="14"/>
      <c r="F145" s="14"/>
      <c r="G145" s="16"/>
      <c r="H145" s="12" t="str">
        <f aca="false">IF(A145="","",A145+2)</f>
        <v/>
      </c>
      <c r="I145" s="13" t="str">
        <f aca="true">IF(A145="","",IF(AND(OR(F145="New",F145="Replied",F145="Quote sent"),TODAY()&gt;=H145),"Yes",""))</f>
        <v/>
      </c>
      <c r="J145" s="14"/>
    </row>
    <row r="146" customFormat="false" ht="15" hidden="false" customHeight="false" outlineLevel="0" collapsed="false">
      <c r="A146" s="15"/>
      <c r="B146" s="14"/>
      <c r="C146" s="14"/>
      <c r="D146" s="14"/>
      <c r="E146" s="14"/>
      <c r="F146" s="14"/>
      <c r="G146" s="16"/>
      <c r="H146" s="12" t="str">
        <f aca="false">IF(A146="","",A146+2)</f>
        <v/>
      </c>
      <c r="I146" s="13" t="str">
        <f aca="true">IF(A146="","",IF(AND(OR(F146="New",F146="Replied",F146="Quote sent"),TODAY()&gt;=H146),"Yes",""))</f>
        <v/>
      </c>
      <c r="J146" s="14"/>
    </row>
    <row r="147" customFormat="false" ht="15" hidden="false" customHeight="false" outlineLevel="0" collapsed="false">
      <c r="A147" s="15"/>
      <c r="B147" s="14"/>
      <c r="C147" s="14"/>
      <c r="D147" s="14"/>
      <c r="E147" s="14"/>
      <c r="F147" s="14"/>
      <c r="G147" s="16"/>
      <c r="H147" s="12" t="str">
        <f aca="false">IF(A147="","",A147+2)</f>
        <v/>
      </c>
      <c r="I147" s="13" t="str">
        <f aca="true">IF(A147="","",IF(AND(OR(F147="New",F147="Replied",F147="Quote sent"),TODAY()&gt;=H147),"Yes",""))</f>
        <v/>
      </c>
      <c r="J147" s="14"/>
    </row>
    <row r="148" customFormat="false" ht="15" hidden="false" customHeight="false" outlineLevel="0" collapsed="false">
      <c r="A148" s="15"/>
      <c r="B148" s="14"/>
      <c r="C148" s="14"/>
      <c r="D148" s="14"/>
      <c r="E148" s="14"/>
      <c r="F148" s="14"/>
      <c r="G148" s="16"/>
      <c r="H148" s="12" t="str">
        <f aca="false">IF(A148="","",A148+2)</f>
        <v/>
      </c>
      <c r="I148" s="13" t="str">
        <f aca="true">IF(A148="","",IF(AND(OR(F148="New",F148="Replied",F148="Quote sent"),TODAY()&gt;=H148),"Yes",""))</f>
        <v/>
      </c>
      <c r="J148" s="14"/>
    </row>
    <row r="149" customFormat="false" ht="15" hidden="false" customHeight="false" outlineLevel="0" collapsed="false">
      <c r="A149" s="15"/>
      <c r="B149" s="14"/>
      <c r="C149" s="14"/>
      <c r="D149" s="14"/>
      <c r="E149" s="14"/>
      <c r="F149" s="14"/>
      <c r="G149" s="16"/>
      <c r="H149" s="12" t="str">
        <f aca="false">IF(A149="","",A149+2)</f>
        <v/>
      </c>
      <c r="I149" s="13" t="str">
        <f aca="true">IF(A149="","",IF(AND(OR(F149="New",F149="Replied",F149="Quote sent"),TODAY()&gt;=H149),"Yes",""))</f>
        <v/>
      </c>
      <c r="J149" s="14"/>
    </row>
    <row r="150" customFormat="false" ht="15" hidden="false" customHeight="false" outlineLevel="0" collapsed="false">
      <c r="A150" s="15"/>
      <c r="B150" s="14"/>
      <c r="C150" s="14"/>
      <c r="D150" s="14"/>
      <c r="E150" s="14"/>
      <c r="F150" s="14"/>
      <c r="G150" s="16"/>
      <c r="H150" s="12" t="str">
        <f aca="false">IF(A150="","",A150+2)</f>
        <v/>
      </c>
      <c r="I150" s="13" t="str">
        <f aca="true">IF(A150="","",IF(AND(OR(F150="New",F150="Replied",F150="Quote sent"),TODAY()&gt;=H150),"Yes",""))</f>
        <v/>
      </c>
      <c r="J150" s="14"/>
    </row>
    <row r="151" customFormat="false" ht="15" hidden="false" customHeight="false" outlineLevel="0" collapsed="false">
      <c r="A151" s="15"/>
      <c r="B151" s="14"/>
      <c r="C151" s="14"/>
      <c r="D151" s="14"/>
      <c r="E151" s="14"/>
      <c r="F151" s="14"/>
      <c r="G151" s="16"/>
      <c r="H151" s="12" t="str">
        <f aca="false">IF(A151="","",A151+2)</f>
        <v/>
      </c>
      <c r="I151" s="13" t="str">
        <f aca="true">IF(A151="","",IF(AND(OR(F151="New",F151="Replied",F151="Quote sent"),TODAY()&gt;=H151),"Yes",""))</f>
        <v/>
      </c>
      <c r="J151" s="14"/>
    </row>
    <row r="152" customFormat="false" ht="15" hidden="false" customHeight="false" outlineLevel="0" collapsed="false">
      <c r="A152" s="15"/>
      <c r="B152" s="14"/>
      <c r="C152" s="14"/>
      <c r="D152" s="14"/>
      <c r="E152" s="14"/>
      <c r="F152" s="14"/>
      <c r="G152" s="16"/>
      <c r="H152" s="12" t="str">
        <f aca="false">IF(A152="","",A152+2)</f>
        <v/>
      </c>
      <c r="I152" s="13" t="str">
        <f aca="true">IF(A152="","",IF(AND(OR(F152="New",F152="Replied",F152="Quote sent"),TODAY()&gt;=H152),"Yes",""))</f>
        <v/>
      </c>
      <c r="J152" s="14"/>
    </row>
    <row r="153" customFormat="false" ht="15" hidden="false" customHeight="false" outlineLevel="0" collapsed="false">
      <c r="A153" s="15"/>
      <c r="B153" s="14"/>
      <c r="C153" s="14"/>
      <c r="D153" s="14"/>
      <c r="E153" s="14"/>
      <c r="F153" s="14"/>
      <c r="G153" s="16"/>
      <c r="H153" s="12" t="str">
        <f aca="false">IF(A153="","",A153+2)</f>
        <v/>
      </c>
      <c r="I153" s="13" t="str">
        <f aca="true">IF(A153="","",IF(AND(OR(F153="New",F153="Replied",F153="Quote sent"),TODAY()&gt;=H153),"Yes",""))</f>
        <v/>
      </c>
      <c r="J153" s="14"/>
    </row>
    <row r="154" customFormat="false" ht="15" hidden="false" customHeight="false" outlineLevel="0" collapsed="false">
      <c r="A154" s="15"/>
      <c r="B154" s="14"/>
      <c r="C154" s="14"/>
      <c r="D154" s="14"/>
      <c r="E154" s="14"/>
      <c r="F154" s="14"/>
      <c r="G154" s="16"/>
      <c r="H154" s="12" t="str">
        <f aca="false">IF(A154="","",A154+2)</f>
        <v/>
      </c>
      <c r="I154" s="13" t="str">
        <f aca="true">IF(A154="","",IF(AND(OR(F154="New",F154="Replied",F154="Quote sent"),TODAY()&gt;=H154),"Yes",""))</f>
        <v/>
      </c>
      <c r="J154" s="14"/>
    </row>
    <row r="155" customFormat="false" ht="15" hidden="false" customHeight="false" outlineLevel="0" collapsed="false">
      <c r="A155" s="15"/>
      <c r="B155" s="14"/>
      <c r="C155" s="14"/>
      <c r="D155" s="14"/>
      <c r="E155" s="14"/>
      <c r="F155" s="14"/>
      <c r="G155" s="16"/>
      <c r="H155" s="12" t="str">
        <f aca="false">IF(A155="","",A155+2)</f>
        <v/>
      </c>
      <c r="I155" s="13" t="str">
        <f aca="true">IF(A155="","",IF(AND(OR(F155="New",F155="Replied",F155="Quote sent"),TODAY()&gt;=H155),"Yes",""))</f>
        <v/>
      </c>
      <c r="J155" s="14"/>
    </row>
    <row r="156" customFormat="false" ht="15" hidden="false" customHeight="false" outlineLevel="0" collapsed="false">
      <c r="A156" s="15"/>
      <c r="B156" s="14"/>
      <c r="C156" s="14"/>
      <c r="D156" s="14"/>
      <c r="E156" s="14"/>
      <c r="F156" s="14"/>
      <c r="G156" s="16"/>
      <c r="H156" s="12" t="str">
        <f aca="false">IF(A156="","",A156+2)</f>
        <v/>
      </c>
      <c r="I156" s="13" t="str">
        <f aca="true">IF(A156="","",IF(AND(OR(F156="New",F156="Replied",F156="Quote sent"),TODAY()&gt;=H156),"Yes",""))</f>
        <v/>
      </c>
      <c r="J156" s="14"/>
    </row>
    <row r="157" customFormat="false" ht="15" hidden="false" customHeight="false" outlineLevel="0" collapsed="false">
      <c r="A157" s="15"/>
      <c r="B157" s="14"/>
      <c r="C157" s="14"/>
      <c r="D157" s="14"/>
      <c r="E157" s="14"/>
      <c r="F157" s="14"/>
      <c r="G157" s="16"/>
      <c r="H157" s="12" t="str">
        <f aca="false">IF(A157="","",A157+2)</f>
        <v/>
      </c>
      <c r="I157" s="13" t="str">
        <f aca="true">IF(A157="","",IF(AND(OR(F157="New",F157="Replied",F157="Quote sent"),TODAY()&gt;=H157),"Yes",""))</f>
        <v/>
      </c>
      <c r="J157" s="14"/>
    </row>
    <row r="158" customFormat="false" ht="15" hidden="false" customHeight="false" outlineLevel="0" collapsed="false">
      <c r="A158" s="15"/>
      <c r="B158" s="14"/>
      <c r="C158" s="14"/>
      <c r="D158" s="14"/>
      <c r="E158" s="14"/>
      <c r="F158" s="14"/>
      <c r="G158" s="16"/>
      <c r="H158" s="12" t="str">
        <f aca="false">IF(A158="","",A158+2)</f>
        <v/>
      </c>
      <c r="I158" s="13" t="str">
        <f aca="true">IF(A158="","",IF(AND(OR(F158="New",F158="Replied",F158="Quote sent"),TODAY()&gt;=H158),"Yes",""))</f>
        <v/>
      </c>
      <c r="J158" s="14"/>
    </row>
    <row r="159" customFormat="false" ht="15" hidden="false" customHeight="false" outlineLevel="0" collapsed="false">
      <c r="A159" s="15"/>
      <c r="B159" s="14"/>
      <c r="C159" s="14"/>
      <c r="D159" s="14"/>
      <c r="E159" s="14"/>
      <c r="F159" s="14"/>
      <c r="G159" s="16"/>
      <c r="H159" s="12" t="str">
        <f aca="false">IF(A159="","",A159+2)</f>
        <v/>
      </c>
      <c r="I159" s="13" t="str">
        <f aca="true">IF(A159="","",IF(AND(OR(F159="New",F159="Replied",F159="Quote sent"),TODAY()&gt;=H159),"Yes",""))</f>
        <v/>
      </c>
      <c r="J159" s="14"/>
    </row>
    <row r="160" customFormat="false" ht="15" hidden="false" customHeight="false" outlineLevel="0" collapsed="false">
      <c r="A160" s="15"/>
      <c r="B160" s="14"/>
      <c r="C160" s="14"/>
      <c r="D160" s="14"/>
      <c r="E160" s="14"/>
      <c r="F160" s="14"/>
      <c r="G160" s="16"/>
      <c r="H160" s="12" t="str">
        <f aca="false">IF(A160="","",A160+2)</f>
        <v/>
      </c>
      <c r="I160" s="13" t="str">
        <f aca="true">IF(A160="","",IF(AND(OR(F160="New",F160="Replied",F160="Quote sent"),TODAY()&gt;=H160),"Yes",""))</f>
        <v/>
      </c>
      <c r="J160" s="14"/>
    </row>
    <row r="161" customFormat="false" ht="15" hidden="false" customHeight="false" outlineLevel="0" collapsed="false">
      <c r="A161" s="15"/>
      <c r="B161" s="14"/>
      <c r="C161" s="14"/>
      <c r="D161" s="14"/>
      <c r="E161" s="14"/>
      <c r="F161" s="14"/>
      <c r="G161" s="16"/>
      <c r="H161" s="12" t="str">
        <f aca="false">IF(A161="","",A161+2)</f>
        <v/>
      </c>
      <c r="I161" s="13" t="str">
        <f aca="true">IF(A161="","",IF(AND(OR(F161="New",F161="Replied",F161="Quote sent"),TODAY()&gt;=H161),"Yes",""))</f>
        <v/>
      </c>
      <c r="J161" s="14"/>
    </row>
    <row r="162" customFormat="false" ht="15" hidden="false" customHeight="false" outlineLevel="0" collapsed="false">
      <c r="A162" s="15"/>
      <c r="B162" s="14"/>
      <c r="C162" s="14"/>
      <c r="D162" s="14"/>
      <c r="E162" s="14"/>
      <c r="F162" s="14"/>
      <c r="G162" s="16"/>
      <c r="H162" s="12" t="str">
        <f aca="false">IF(A162="","",A162+2)</f>
        <v/>
      </c>
      <c r="I162" s="13" t="str">
        <f aca="true">IF(A162="","",IF(AND(OR(F162="New",F162="Replied",F162="Quote sent"),TODAY()&gt;=H162),"Yes",""))</f>
        <v/>
      </c>
      <c r="J162" s="14"/>
    </row>
    <row r="163" customFormat="false" ht="15" hidden="false" customHeight="false" outlineLevel="0" collapsed="false">
      <c r="A163" s="15"/>
      <c r="B163" s="14"/>
      <c r="C163" s="14"/>
      <c r="D163" s="14"/>
      <c r="E163" s="14"/>
      <c r="F163" s="14"/>
      <c r="G163" s="16"/>
      <c r="H163" s="12" t="str">
        <f aca="false">IF(A163="","",A163+2)</f>
        <v/>
      </c>
      <c r="I163" s="13" t="str">
        <f aca="true">IF(A163="","",IF(AND(OR(F163="New",F163="Replied",F163="Quote sent"),TODAY()&gt;=H163),"Yes",""))</f>
        <v/>
      </c>
      <c r="J163" s="14"/>
    </row>
    <row r="164" customFormat="false" ht="15" hidden="false" customHeight="false" outlineLevel="0" collapsed="false">
      <c r="A164" s="15"/>
      <c r="B164" s="14"/>
      <c r="C164" s="14"/>
      <c r="D164" s="14"/>
      <c r="E164" s="14"/>
      <c r="F164" s="14"/>
      <c r="G164" s="16"/>
      <c r="H164" s="12" t="str">
        <f aca="false">IF(A164="","",A164+2)</f>
        <v/>
      </c>
      <c r="I164" s="13" t="str">
        <f aca="true">IF(A164="","",IF(AND(OR(F164="New",F164="Replied",F164="Quote sent"),TODAY()&gt;=H164),"Yes",""))</f>
        <v/>
      </c>
      <c r="J164" s="14"/>
    </row>
    <row r="165" customFormat="false" ht="15" hidden="false" customHeight="false" outlineLevel="0" collapsed="false">
      <c r="A165" s="15"/>
      <c r="B165" s="14"/>
      <c r="C165" s="14"/>
      <c r="D165" s="14"/>
      <c r="E165" s="14"/>
      <c r="F165" s="14"/>
      <c r="G165" s="16"/>
      <c r="H165" s="12" t="str">
        <f aca="false">IF(A165="","",A165+2)</f>
        <v/>
      </c>
      <c r="I165" s="13" t="str">
        <f aca="true">IF(A165="","",IF(AND(OR(F165="New",F165="Replied",F165="Quote sent"),TODAY()&gt;=H165),"Yes",""))</f>
        <v/>
      </c>
      <c r="J165" s="14"/>
    </row>
    <row r="166" customFormat="false" ht="15" hidden="false" customHeight="false" outlineLevel="0" collapsed="false">
      <c r="A166" s="15"/>
      <c r="B166" s="14"/>
      <c r="C166" s="14"/>
      <c r="D166" s="14"/>
      <c r="E166" s="14"/>
      <c r="F166" s="14"/>
      <c r="G166" s="16"/>
      <c r="H166" s="12" t="str">
        <f aca="false">IF(A166="","",A166+2)</f>
        <v/>
      </c>
      <c r="I166" s="13" t="str">
        <f aca="true">IF(A166="","",IF(AND(OR(F166="New",F166="Replied",F166="Quote sent"),TODAY()&gt;=H166),"Yes",""))</f>
        <v/>
      </c>
      <c r="J166" s="14"/>
    </row>
    <row r="167" customFormat="false" ht="15" hidden="false" customHeight="false" outlineLevel="0" collapsed="false">
      <c r="A167" s="15"/>
      <c r="B167" s="14"/>
      <c r="C167" s="14"/>
      <c r="D167" s="14"/>
      <c r="E167" s="14"/>
      <c r="F167" s="14"/>
      <c r="G167" s="16"/>
      <c r="H167" s="12" t="str">
        <f aca="false">IF(A167="","",A167+2)</f>
        <v/>
      </c>
      <c r="I167" s="13" t="str">
        <f aca="true">IF(A167="","",IF(AND(OR(F167="New",F167="Replied",F167="Quote sent"),TODAY()&gt;=H167),"Yes",""))</f>
        <v/>
      </c>
      <c r="J167" s="14"/>
    </row>
    <row r="168" customFormat="false" ht="15" hidden="false" customHeight="false" outlineLevel="0" collapsed="false">
      <c r="A168" s="15"/>
      <c r="B168" s="14"/>
      <c r="C168" s="14"/>
      <c r="D168" s="14"/>
      <c r="E168" s="14"/>
      <c r="F168" s="14"/>
      <c r="G168" s="16"/>
      <c r="H168" s="12" t="str">
        <f aca="false">IF(A168="","",A168+2)</f>
        <v/>
      </c>
      <c r="I168" s="13" t="str">
        <f aca="true">IF(A168="","",IF(AND(OR(F168="New",F168="Replied",F168="Quote sent"),TODAY()&gt;=H168),"Yes",""))</f>
        <v/>
      </c>
      <c r="J168" s="14"/>
    </row>
    <row r="169" customFormat="false" ht="15" hidden="false" customHeight="false" outlineLevel="0" collapsed="false">
      <c r="A169" s="15"/>
      <c r="B169" s="14"/>
      <c r="C169" s="14"/>
      <c r="D169" s="14"/>
      <c r="E169" s="14"/>
      <c r="F169" s="14"/>
      <c r="G169" s="16"/>
      <c r="H169" s="12" t="str">
        <f aca="false">IF(A169="","",A169+2)</f>
        <v/>
      </c>
      <c r="I169" s="13" t="str">
        <f aca="true">IF(A169="","",IF(AND(OR(F169="New",F169="Replied",F169="Quote sent"),TODAY()&gt;=H169),"Yes",""))</f>
        <v/>
      </c>
      <c r="J169" s="14"/>
    </row>
    <row r="170" customFormat="false" ht="15" hidden="false" customHeight="false" outlineLevel="0" collapsed="false">
      <c r="A170" s="15"/>
      <c r="B170" s="14"/>
      <c r="C170" s="14"/>
      <c r="D170" s="14"/>
      <c r="E170" s="14"/>
      <c r="F170" s="14"/>
      <c r="G170" s="16"/>
      <c r="H170" s="12" t="str">
        <f aca="false">IF(A170="","",A170+2)</f>
        <v/>
      </c>
      <c r="I170" s="13" t="str">
        <f aca="true">IF(A170="","",IF(AND(OR(F170="New",F170="Replied",F170="Quote sent"),TODAY()&gt;=H170),"Yes",""))</f>
        <v/>
      </c>
      <c r="J170" s="14"/>
    </row>
    <row r="171" customFormat="false" ht="15" hidden="false" customHeight="false" outlineLevel="0" collapsed="false">
      <c r="A171" s="15"/>
      <c r="B171" s="14"/>
      <c r="C171" s="14"/>
      <c r="D171" s="14"/>
      <c r="E171" s="14"/>
      <c r="F171" s="14"/>
      <c r="G171" s="16"/>
      <c r="H171" s="12" t="str">
        <f aca="false">IF(A171="","",A171+2)</f>
        <v/>
      </c>
      <c r="I171" s="13" t="str">
        <f aca="true">IF(A171="","",IF(AND(OR(F171="New",F171="Replied",F171="Quote sent"),TODAY()&gt;=H171),"Yes",""))</f>
        <v/>
      </c>
      <c r="J171" s="14"/>
    </row>
    <row r="172" customFormat="false" ht="15" hidden="false" customHeight="false" outlineLevel="0" collapsed="false">
      <c r="A172" s="15"/>
      <c r="B172" s="14"/>
      <c r="C172" s="14"/>
      <c r="D172" s="14"/>
      <c r="E172" s="14"/>
      <c r="F172" s="14"/>
      <c r="G172" s="16"/>
      <c r="H172" s="12" t="str">
        <f aca="false">IF(A172="","",A172+2)</f>
        <v/>
      </c>
      <c r="I172" s="13" t="str">
        <f aca="true">IF(A172="","",IF(AND(OR(F172="New",F172="Replied",F172="Quote sent"),TODAY()&gt;=H172),"Yes",""))</f>
        <v/>
      </c>
      <c r="J172" s="14"/>
    </row>
    <row r="173" customFormat="false" ht="15" hidden="false" customHeight="false" outlineLevel="0" collapsed="false">
      <c r="A173" s="15"/>
      <c r="B173" s="14"/>
      <c r="C173" s="14"/>
      <c r="D173" s="14"/>
      <c r="E173" s="14"/>
      <c r="F173" s="14"/>
      <c r="G173" s="16"/>
      <c r="H173" s="12" t="str">
        <f aca="false">IF(A173="","",A173+2)</f>
        <v/>
      </c>
      <c r="I173" s="13" t="str">
        <f aca="true">IF(A173="","",IF(AND(OR(F173="New",F173="Replied",F173="Quote sent"),TODAY()&gt;=H173),"Yes",""))</f>
        <v/>
      </c>
      <c r="J173" s="14"/>
    </row>
    <row r="174" customFormat="false" ht="15" hidden="false" customHeight="false" outlineLevel="0" collapsed="false">
      <c r="A174" s="15"/>
      <c r="B174" s="14"/>
      <c r="C174" s="14"/>
      <c r="D174" s="14"/>
      <c r="E174" s="14"/>
      <c r="F174" s="14"/>
      <c r="G174" s="16"/>
      <c r="H174" s="12" t="str">
        <f aca="false">IF(A174="","",A174+2)</f>
        <v/>
      </c>
      <c r="I174" s="13" t="str">
        <f aca="true">IF(A174="","",IF(AND(OR(F174="New",F174="Replied",F174="Quote sent"),TODAY()&gt;=H174),"Yes",""))</f>
        <v/>
      </c>
      <c r="J174" s="14"/>
    </row>
    <row r="175" customFormat="false" ht="15" hidden="false" customHeight="false" outlineLevel="0" collapsed="false">
      <c r="A175" s="15"/>
      <c r="B175" s="14"/>
      <c r="C175" s="14"/>
      <c r="D175" s="14"/>
      <c r="E175" s="14"/>
      <c r="F175" s="14"/>
      <c r="G175" s="16"/>
      <c r="H175" s="12" t="str">
        <f aca="false">IF(A175="","",A175+2)</f>
        <v/>
      </c>
      <c r="I175" s="13" t="str">
        <f aca="true">IF(A175="","",IF(AND(OR(F175="New",F175="Replied",F175="Quote sent"),TODAY()&gt;=H175),"Yes",""))</f>
        <v/>
      </c>
      <c r="J175" s="14"/>
    </row>
    <row r="176" customFormat="false" ht="15" hidden="false" customHeight="false" outlineLevel="0" collapsed="false">
      <c r="A176" s="15"/>
      <c r="B176" s="14"/>
      <c r="C176" s="14"/>
      <c r="D176" s="14"/>
      <c r="E176" s="14"/>
      <c r="F176" s="14"/>
      <c r="G176" s="16"/>
      <c r="H176" s="12" t="str">
        <f aca="false">IF(A176="","",A176+2)</f>
        <v/>
      </c>
      <c r="I176" s="13" t="str">
        <f aca="true">IF(A176="","",IF(AND(OR(F176="New",F176="Replied",F176="Quote sent"),TODAY()&gt;=H176),"Yes",""))</f>
        <v/>
      </c>
      <c r="J176" s="14"/>
    </row>
    <row r="177" customFormat="false" ht="15" hidden="false" customHeight="false" outlineLevel="0" collapsed="false">
      <c r="A177" s="15"/>
      <c r="B177" s="14"/>
      <c r="C177" s="14"/>
      <c r="D177" s="14"/>
      <c r="E177" s="14"/>
      <c r="F177" s="14"/>
      <c r="G177" s="16"/>
      <c r="H177" s="12" t="str">
        <f aca="false">IF(A177="","",A177+2)</f>
        <v/>
      </c>
      <c r="I177" s="13" t="str">
        <f aca="true">IF(A177="","",IF(AND(OR(F177="New",F177="Replied",F177="Quote sent"),TODAY()&gt;=H177),"Yes",""))</f>
        <v/>
      </c>
      <c r="J177" s="14"/>
    </row>
    <row r="178" customFormat="false" ht="15" hidden="false" customHeight="false" outlineLevel="0" collapsed="false">
      <c r="A178" s="15"/>
      <c r="B178" s="14"/>
      <c r="C178" s="14"/>
      <c r="D178" s="14"/>
      <c r="E178" s="14"/>
      <c r="F178" s="14"/>
      <c r="G178" s="16"/>
      <c r="H178" s="12" t="str">
        <f aca="false">IF(A178="","",A178+2)</f>
        <v/>
      </c>
      <c r="I178" s="13" t="str">
        <f aca="true">IF(A178="","",IF(AND(OR(F178="New",F178="Replied",F178="Quote sent"),TODAY()&gt;=H178),"Yes",""))</f>
        <v/>
      </c>
      <c r="J178" s="14"/>
    </row>
    <row r="179" customFormat="false" ht="15" hidden="false" customHeight="false" outlineLevel="0" collapsed="false">
      <c r="A179" s="15"/>
      <c r="B179" s="14"/>
      <c r="C179" s="14"/>
      <c r="D179" s="14"/>
      <c r="E179" s="14"/>
      <c r="F179" s="14"/>
      <c r="G179" s="16"/>
      <c r="H179" s="12" t="str">
        <f aca="false">IF(A179="","",A179+2)</f>
        <v/>
      </c>
      <c r="I179" s="13" t="str">
        <f aca="true">IF(A179="","",IF(AND(OR(F179="New",F179="Replied",F179="Quote sent"),TODAY()&gt;=H179),"Yes",""))</f>
        <v/>
      </c>
      <c r="J179" s="14"/>
    </row>
    <row r="180" customFormat="false" ht="15" hidden="false" customHeight="false" outlineLevel="0" collapsed="false">
      <c r="A180" s="15"/>
      <c r="B180" s="14"/>
      <c r="C180" s="14"/>
      <c r="D180" s="14"/>
      <c r="E180" s="14"/>
      <c r="F180" s="14"/>
      <c r="G180" s="16"/>
      <c r="H180" s="12" t="str">
        <f aca="false">IF(A180="","",A180+2)</f>
        <v/>
      </c>
      <c r="I180" s="13" t="str">
        <f aca="true">IF(A180="","",IF(AND(OR(F180="New",F180="Replied",F180="Quote sent"),TODAY()&gt;=H180),"Yes",""))</f>
        <v/>
      </c>
      <c r="J180" s="14"/>
    </row>
    <row r="181" customFormat="false" ht="15" hidden="false" customHeight="false" outlineLevel="0" collapsed="false">
      <c r="A181" s="15"/>
      <c r="B181" s="14"/>
      <c r="C181" s="14"/>
      <c r="D181" s="14"/>
      <c r="E181" s="14"/>
      <c r="F181" s="14"/>
      <c r="G181" s="16"/>
      <c r="H181" s="12" t="str">
        <f aca="false">IF(A181="","",A181+2)</f>
        <v/>
      </c>
      <c r="I181" s="13" t="str">
        <f aca="true">IF(A181="","",IF(AND(OR(F181="New",F181="Replied",F181="Quote sent"),TODAY()&gt;=H181),"Yes",""))</f>
        <v/>
      </c>
      <c r="J181" s="14"/>
    </row>
    <row r="182" customFormat="false" ht="15" hidden="false" customHeight="false" outlineLevel="0" collapsed="false">
      <c r="A182" s="15"/>
      <c r="B182" s="14"/>
      <c r="C182" s="14"/>
      <c r="D182" s="14"/>
      <c r="E182" s="14"/>
      <c r="F182" s="14"/>
      <c r="G182" s="16"/>
      <c r="H182" s="12" t="str">
        <f aca="false">IF(A182="","",A182+2)</f>
        <v/>
      </c>
      <c r="I182" s="13" t="str">
        <f aca="true">IF(A182="","",IF(AND(OR(F182="New",F182="Replied",F182="Quote sent"),TODAY()&gt;=H182),"Yes",""))</f>
        <v/>
      </c>
      <c r="J182" s="14"/>
    </row>
    <row r="183" customFormat="false" ht="15" hidden="false" customHeight="false" outlineLevel="0" collapsed="false">
      <c r="A183" s="15"/>
      <c r="B183" s="14"/>
      <c r="C183" s="14"/>
      <c r="D183" s="14"/>
      <c r="E183" s="14"/>
      <c r="F183" s="14"/>
      <c r="G183" s="16"/>
      <c r="H183" s="12" t="str">
        <f aca="false">IF(A183="","",A183+2)</f>
        <v/>
      </c>
      <c r="I183" s="13" t="str">
        <f aca="true">IF(A183="","",IF(AND(OR(F183="New",F183="Replied",F183="Quote sent"),TODAY()&gt;=H183),"Yes",""))</f>
        <v/>
      </c>
      <c r="J183" s="14"/>
    </row>
    <row r="184" customFormat="false" ht="15" hidden="false" customHeight="false" outlineLevel="0" collapsed="false">
      <c r="A184" s="15"/>
      <c r="B184" s="14"/>
      <c r="C184" s="14"/>
      <c r="D184" s="14"/>
      <c r="E184" s="14"/>
      <c r="F184" s="14"/>
      <c r="G184" s="16"/>
      <c r="H184" s="12" t="str">
        <f aca="false">IF(A184="","",A184+2)</f>
        <v/>
      </c>
      <c r="I184" s="13" t="str">
        <f aca="true">IF(A184="","",IF(AND(OR(F184="New",F184="Replied",F184="Quote sent"),TODAY()&gt;=H184),"Yes",""))</f>
        <v/>
      </c>
      <c r="J184" s="14"/>
    </row>
    <row r="185" customFormat="false" ht="15" hidden="false" customHeight="false" outlineLevel="0" collapsed="false">
      <c r="A185" s="15"/>
      <c r="B185" s="14"/>
      <c r="C185" s="14"/>
      <c r="D185" s="14"/>
      <c r="E185" s="14"/>
      <c r="F185" s="14"/>
      <c r="G185" s="16"/>
      <c r="H185" s="12" t="str">
        <f aca="false">IF(A185="","",A185+2)</f>
        <v/>
      </c>
      <c r="I185" s="13" t="str">
        <f aca="true">IF(A185="","",IF(AND(OR(F185="New",F185="Replied",F185="Quote sent"),TODAY()&gt;=H185),"Yes",""))</f>
        <v/>
      </c>
      <c r="J185" s="14"/>
    </row>
    <row r="186" customFormat="false" ht="15" hidden="false" customHeight="false" outlineLevel="0" collapsed="false">
      <c r="A186" s="15"/>
      <c r="B186" s="14"/>
      <c r="C186" s="14"/>
      <c r="D186" s="14"/>
      <c r="E186" s="14"/>
      <c r="F186" s="14"/>
      <c r="G186" s="16"/>
      <c r="H186" s="12" t="str">
        <f aca="false">IF(A186="","",A186+2)</f>
        <v/>
      </c>
      <c r="I186" s="13" t="str">
        <f aca="true">IF(A186="","",IF(AND(OR(F186="New",F186="Replied",F186="Quote sent"),TODAY()&gt;=H186),"Yes",""))</f>
        <v/>
      </c>
      <c r="J186" s="14"/>
    </row>
    <row r="187" customFormat="false" ht="15" hidden="false" customHeight="false" outlineLevel="0" collapsed="false">
      <c r="A187" s="15"/>
      <c r="B187" s="14"/>
      <c r="C187" s="14"/>
      <c r="D187" s="14"/>
      <c r="E187" s="14"/>
      <c r="F187" s="14"/>
      <c r="G187" s="16"/>
      <c r="H187" s="12" t="str">
        <f aca="false">IF(A187="","",A187+2)</f>
        <v/>
      </c>
      <c r="I187" s="13" t="str">
        <f aca="true">IF(A187="","",IF(AND(OR(F187="New",F187="Replied",F187="Quote sent"),TODAY()&gt;=H187),"Yes",""))</f>
        <v/>
      </c>
      <c r="J187" s="14"/>
    </row>
    <row r="188" customFormat="false" ht="15" hidden="false" customHeight="false" outlineLevel="0" collapsed="false">
      <c r="A188" s="15"/>
      <c r="B188" s="14"/>
      <c r="C188" s="14"/>
      <c r="D188" s="14"/>
      <c r="E188" s="14"/>
      <c r="F188" s="14"/>
      <c r="G188" s="16"/>
      <c r="H188" s="12" t="str">
        <f aca="false">IF(A188="","",A188+2)</f>
        <v/>
      </c>
      <c r="I188" s="13" t="str">
        <f aca="true">IF(A188="","",IF(AND(OR(F188="New",F188="Replied",F188="Quote sent"),TODAY()&gt;=H188),"Yes",""))</f>
        <v/>
      </c>
      <c r="J188" s="14"/>
    </row>
    <row r="189" customFormat="false" ht="15" hidden="false" customHeight="false" outlineLevel="0" collapsed="false">
      <c r="A189" s="15"/>
      <c r="B189" s="14"/>
      <c r="C189" s="14"/>
      <c r="D189" s="14"/>
      <c r="E189" s="14"/>
      <c r="F189" s="14"/>
      <c r="G189" s="16"/>
      <c r="H189" s="12" t="str">
        <f aca="false">IF(A189="","",A189+2)</f>
        <v/>
      </c>
      <c r="I189" s="13" t="str">
        <f aca="true">IF(A189="","",IF(AND(OR(F189="New",F189="Replied",F189="Quote sent"),TODAY()&gt;=H189),"Yes",""))</f>
        <v/>
      </c>
      <c r="J189" s="14"/>
    </row>
    <row r="190" customFormat="false" ht="15" hidden="false" customHeight="false" outlineLevel="0" collapsed="false">
      <c r="A190" s="15"/>
      <c r="B190" s="14"/>
      <c r="C190" s="14"/>
      <c r="D190" s="14"/>
      <c r="E190" s="14"/>
      <c r="F190" s="14"/>
      <c r="G190" s="16"/>
      <c r="H190" s="12" t="str">
        <f aca="false">IF(A190="","",A190+2)</f>
        <v/>
      </c>
      <c r="I190" s="13" t="str">
        <f aca="true">IF(A190="","",IF(AND(OR(F190="New",F190="Replied",F190="Quote sent"),TODAY()&gt;=H190),"Yes",""))</f>
        <v/>
      </c>
      <c r="J190" s="14"/>
    </row>
    <row r="191" customFormat="false" ht="15" hidden="false" customHeight="false" outlineLevel="0" collapsed="false">
      <c r="A191" s="15"/>
      <c r="B191" s="14"/>
      <c r="C191" s="14"/>
      <c r="D191" s="14"/>
      <c r="E191" s="14"/>
      <c r="F191" s="14"/>
      <c r="G191" s="16"/>
      <c r="H191" s="12" t="str">
        <f aca="false">IF(A191="","",A191+2)</f>
        <v/>
      </c>
      <c r="I191" s="13" t="str">
        <f aca="true">IF(A191="","",IF(AND(OR(F191="New",F191="Replied",F191="Quote sent"),TODAY()&gt;=H191),"Yes",""))</f>
        <v/>
      </c>
      <c r="J191" s="14"/>
    </row>
    <row r="192" customFormat="false" ht="15" hidden="false" customHeight="false" outlineLevel="0" collapsed="false">
      <c r="A192" s="15"/>
      <c r="B192" s="14"/>
      <c r="C192" s="14"/>
      <c r="D192" s="14"/>
      <c r="E192" s="14"/>
      <c r="F192" s="14"/>
      <c r="G192" s="16"/>
      <c r="H192" s="12" t="str">
        <f aca="false">IF(A192="","",A192+2)</f>
        <v/>
      </c>
      <c r="I192" s="13" t="str">
        <f aca="true">IF(A192="","",IF(AND(OR(F192="New",F192="Replied",F192="Quote sent"),TODAY()&gt;=H192),"Yes",""))</f>
        <v/>
      </c>
      <c r="J192" s="14"/>
    </row>
    <row r="193" customFormat="false" ht="15" hidden="false" customHeight="false" outlineLevel="0" collapsed="false">
      <c r="A193" s="15"/>
      <c r="B193" s="14"/>
      <c r="C193" s="14"/>
      <c r="D193" s="14"/>
      <c r="E193" s="14"/>
      <c r="F193" s="14"/>
      <c r="G193" s="16"/>
      <c r="H193" s="12" t="str">
        <f aca="false">IF(A193="","",A193+2)</f>
        <v/>
      </c>
      <c r="I193" s="13" t="str">
        <f aca="true">IF(A193="","",IF(AND(OR(F193="New",F193="Replied",F193="Quote sent"),TODAY()&gt;=H193),"Yes",""))</f>
        <v/>
      </c>
      <c r="J193" s="14"/>
    </row>
    <row r="194" customFormat="false" ht="15" hidden="false" customHeight="false" outlineLevel="0" collapsed="false">
      <c r="A194" s="15"/>
      <c r="B194" s="14"/>
      <c r="C194" s="14"/>
      <c r="D194" s="14"/>
      <c r="E194" s="14"/>
      <c r="F194" s="14"/>
      <c r="G194" s="16"/>
      <c r="H194" s="12" t="str">
        <f aca="false">IF(A194="","",A194+2)</f>
        <v/>
      </c>
      <c r="I194" s="13" t="str">
        <f aca="true">IF(A194="","",IF(AND(OR(F194="New",F194="Replied",F194="Quote sent"),TODAY()&gt;=H194),"Yes",""))</f>
        <v/>
      </c>
      <c r="J194" s="14"/>
    </row>
    <row r="195" customFormat="false" ht="15" hidden="false" customHeight="false" outlineLevel="0" collapsed="false">
      <c r="A195" s="15"/>
      <c r="B195" s="14"/>
      <c r="C195" s="14"/>
      <c r="D195" s="14"/>
      <c r="E195" s="14"/>
      <c r="F195" s="14"/>
      <c r="G195" s="16"/>
      <c r="H195" s="12" t="str">
        <f aca="false">IF(A195="","",A195+2)</f>
        <v/>
      </c>
      <c r="I195" s="13" t="str">
        <f aca="true">IF(A195="","",IF(AND(OR(F195="New",F195="Replied",F195="Quote sent"),TODAY()&gt;=H195),"Yes",""))</f>
        <v/>
      </c>
      <c r="J195" s="14"/>
    </row>
    <row r="196" customFormat="false" ht="15" hidden="false" customHeight="false" outlineLevel="0" collapsed="false">
      <c r="A196" s="15"/>
      <c r="B196" s="14"/>
      <c r="C196" s="14"/>
      <c r="D196" s="14"/>
      <c r="E196" s="14"/>
      <c r="F196" s="14"/>
      <c r="G196" s="16"/>
      <c r="H196" s="12" t="str">
        <f aca="false">IF(A196="","",A196+2)</f>
        <v/>
      </c>
      <c r="I196" s="13" t="str">
        <f aca="true">IF(A196="","",IF(AND(OR(F196="New",F196="Replied",F196="Quote sent"),TODAY()&gt;=H196),"Yes",""))</f>
        <v/>
      </c>
      <c r="J196" s="14"/>
    </row>
    <row r="197" customFormat="false" ht="15" hidden="false" customHeight="false" outlineLevel="0" collapsed="false">
      <c r="A197" s="15"/>
      <c r="B197" s="14"/>
      <c r="C197" s="14"/>
      <c r="D197" s="14"/>
      <c r="E197" s="14"/>
      <c r="F197" s="14"/>
      <c r="G197" s="16"/>
      <c r="H197" s="12" t="str">
        <f aca="false">IF(A197="","",A197+2)</f>
        <v/>
      </c>
      <c r="I197" s="13" t="str">
        <f aca="true">IF(A197="","",IF(AND(OR(F197="New",F197="Replied",F197="Quote sent"),TODAY()&gt;=H197),"Yes",""))</f>
        <v/>
      </c>
      <c r="J197" s="14"/>
    </row>
    <row r="198" customFormat="false" ht="15" hidden="false" customHeight="false" outlineLevel="0" collapsed="false">
      <c r="A198" s="15"/>
      <c r="B198" s="14"/>
      <c r="C198" s="14"/>
      <c r="D198" s="14"/>
      <c r="E198" s="14"/>
      <c r="F198" s="14"/>
      <c r="G198" s="16"/>
      <c r="H198" s="12" t="str">
        <f aca="false">IF(A198="","",A198+2)</f>
        <v/>
      </c>
      <c r="I198" s="13" t="str">
        <f aca="true">IF(A198="","",IF(AND(OR(F198="New",F198="Replied",F198="Quote sent"),TODAY()&gt;=H198),"Yes",""))</f>
        <v/>
      </c>
      <c r="J198" s="14"/>
    </row>
    <row r="199" customFormat="false" ht="15" hidden="false" customHeight="false" outlineLevel="0" collapsed="false">
      <c r="A199" s="15"/>
      <c r="B199" s="14"/>
      <c r="C199" s="14"/>
      <c r="D199" s="14"/>
      <c r="E199" s="14"/>
      <c r="F199" s="14"/>
      <c r="G199" s="16"/>
      <c r="H199" s="12" t="str">
        <f aca="false">IF(A199="","",A199+2)</f>
        <v/>
      </c>
      <c r="I199" s="13" t="str">
        <f aca="true">IF(A199="","",IF(AND(OR(F199="New",F199="Replied",F199="Quote sent"),TODAY()&gt;=H199),"Yes",""))</f>
        <v/>
      </c>
      <c r="J199" s="14"/>
    </row>
    <row r="200" customFormat="false" ht="15" hidden="false" customHeight="false" outlineLevel="0" collapsed="false">
      <c r="A200" s="15"/>
      <c r="B200" s="14"/>
      <c r="C200" s="14"/>
      <c r="D200" s="14"/>
      <c r="E200" s="14"/>
      <c r="F200" s="14"/>
      <c r="G200" s="16"/>
      <c r="H200" s="12" t="str">
        <f aca="false">IF(A200="","",A200+2)</f>
        <v/>
      </c>
      <c r="I200" s="13" t="str">
        <f aca="true">IF(A200="","",IF(AND(OR(F200="New",F200="Replied",F200="Quote sent"),TODAY()&gt;=H200),"Yes",""))</f>
        <v/>
      </c>
      <c r="J200" s="14"/>
    </row>
    <row r="201" customFormat="false" ht="15" hidden="false" customHeight="false" outlineLevel="0" collapsed="false">
      <c r="A201" s="15"/>
      <c r="B201" s="14"/>
      <c r="C201" s="14"/>
      <c r="D201" s="14"/>
      <c r="E201" s="14"/>
      <c r="F201" s="14"/>
      <c r="G201" s="16"/>
      <c r="H201" s="12" t="str">
        <f aca="false">IF(A201="","",A201+2)</f>
        <v/>
      </c>
      <c r="I201" s="13" t="str">
        <f aca="true">IF(A201="","",IF(AND(OR(F201="New",F201="Replied",F201="Quote sent"),TODAY()&gt;=H201),"Yes",""))</f>
        <v/>
      </c>
      <c r="J201" s="14"/>
    </row>
    <row r="202" customFormat="false" ht="15" hidden="false" customHeight="false" outlineLevel="0" collapsed="false">
      <c r="A202" s="15"/>
      <c r="B202" s="14"/>
      <c r="C202" s="14"/>
      <c r="D202" s="14"/>
      <c r="E202" s="14"/>
      <c r="F202" s="14"/>
      <c r="G202" s="16"/>
      <c r="H202" s="12" t="str">
        <f aca="false">IF(A202="","",A202+2)</f>
        <v/>
      </c>
      <c r="I202" s="13" t="str">
        <f aca="true">IF(A202="","",IF(AND(OR(F202="New",F202="Replied",F202="Quote sent"),TODAY()&gt;=H202),"Yes",""))</f>
        <v/>
      </c>
      <c r="J202" s="14"/>
    </row>
    <row r="203" customFormat="false" ht="15" hidden="false" customHeight="false" outlineLevel="0" collapsed="false">
      <c r="A203" s="15"/>
      <c r="B203" s="14"/>
      <c r="C203" s="14"/>
      <c r="D203" s="14"/>
      <c r="E203" s="14"/>
      <c r="F203" s="14"/>
      <c r="G203" s="16"/>
      <c r="H203" s="12" t="str">
        <f aca="false">IF(A203="","",A203+2)</f>
        <v/>
      </c>
      <c r="I203" s="13" t="str">
        <f aca="true">IF(A203="","",IF(AND(OR(F203="New",F203="Replied",F203="Quote sent"),TODAY()&gt;=H203),"Yes",""))</f>
        <v/>
      </c>
      <c r="J203" s="14"/>
    </row>
    <row r="204" customFormat="false" ht="15" hidden="false" customHeight="false" outlineLevel="0" collapsed="false">
      <c r="A204" s="15"/>
      <c r="B204" s="14"/>
      <c r="C204" s="14"/>
      <c r="D204" s="14"/>
      <c r="E204" s="14"/>
      <c r="F204" s="14"/>
      <c r="G204" s="16"/>
      <c r="H204" s="12" t="str">
        <f aca="false">IF(A204="","",A204+2)</f>
        <v/>
      </c>
      <c r="I204" s="13" t="str">
        <f aca="true">IF(A204="","",IF(AND(OR(F204="New",F204="Replied",F204="Quote sent"),TODAY()&gt;=H204),"Yes",""))</f>
        <v/>
      </c>
      <c r="J204" s="14"/>
    </row>
    <row r="205" customFormat="false" ht="15" hidden="false" customHeight="false" outlineLevel="0" collapsed="false">
      <c r="A205" s="15"/>
      <c r="B205" s="14"/>
      <c r="C205" s="14"/>
      <c r="D205" s="14"/>
      <c r="E205" s="14"/>
      <c r="F205" s="14"/>
      <c r="G205" s="16"/>
      <c r="H205" s="12" t="str">
        <f aca="false">IF(A205="","",A205+2)</f>
        <v/>
      </c>
      <c r="I205" s="13" t="str">
        <f aca="true">IF(A205="","",IF(AND(OR(F205="New",F205="Replied",F205="Quote sent"),TODAY()&gt;=H205),"Yes",""))</f>
        <v/>
      </c>
      <c r="J205" s="14"/>
    </row>
    <row r="206" customFormat="false" ht="15" hidden="false" customHeight="false" outlineLevel="0" collapsed="false">
      <c r="A206" s="15"/>
      <c r="B206" s="14"/>
      <c r="C206" s="14"/>
      <c r="D206" s="14"/>
      <c r="E206" s="14"/>
      <c r="F206" s="14"/>
      <c r="G206" s="16"/>
      <c r="H206" s="12" t="str">
        <f aca="false">IF(A206="","",A206+2)</f>
        <v/>
      </c>
      <c r="I206" s="13" t="str">
        <f aca="true">IF(A206="","",IF(AND(OR(F206="New",F206="Replied",F206="Quote sent"),TODAY()&gt;=H206),"Yes",""))</f>
        <v/>
      </c>
      <c r="J206" s="14"/>
    </row>
    <row r="207" customFormat="false" ht="15" hidden="false" customHeight="false" outlineLevel="0" collapsed="false">
      <c r="A207" s="15"/>
      <c r="B207" s="14"/>
      <c r="C207" s="14"/>
      <c r="D207" s="14"/>
      <c r="E207" s="14"/>
      <c r="F207" s="14"/>
      <c r="G207" s="16"/>
      <c r="H207" s="12" t="str">
        <f aca="false">IF(A207="","",A207+2)</f>
        <v/>
      </c>
      <c r="I207" s="13" t="str">
        <f aca="true">IF(A207="","",IF(AND(OR(F207="New",F207="Replied",F207="Quote sent"),TODAY()&gt;=H207),"Yes",""))</f>
        <v/>
      </c>
      <c r="J207" s="14"/>
    </row>
    <row r="208" customFormat="false" ht="15" hidden="false" customHeight="false" outlineLevel="0" collapsed="false">
      <c r="A208" s="15"/>
      <c r="B208" s="14"/>
      <c r="C208" s="14"/>
      <c r="D208" s="14"/>
      <c r="E208" s="14"/>
      <c r="F208" s="14"/>
      <c r="G208" s="16"/>
      <c r="H208" s="12" t="str">
        <f aca="false">IF(A208="","",A208+2)</f>
        <v/>
      </c>
      <c r="I208" s="13" t="str">
        <f aca="true">IF(A208="","",IF(AND(OR(F208="New",F208="Replied",F208="Quote sent"),TODAY()&gt;=H208),"Yes",""))</f>
        <v/>
      </c>
      <c r="J208" s="14"/>
    </row>
    <row r="209" customFormat="false" ht="15" hidden="false" customHeight="false" outlineLevel="0" collapsed="false">
      <c r="A209" s="15"/>
      <c r="B209" s="14"/>
      <c r="C209" s="14"/>
      <c r="D209" s="14"/>
      <c r="E209" s="14"/>
      <c r="F209" s="14"/>
      <c r="G209" s="16"/>
      <c r="H209" s="12" t="str">
        <f aca="false">IF(A209="","",A209+2)</f>
        <v/>
      </c>
      <c r="I209" s="13" t="str">
        <f aca="true">IF(A209="","",IF(AND(OR(F209="New",F209="Replied",F209="Quote sent"),TODAY()&gt;=H209),"Yes",""))</f>
        <v/>
      </c>
      <c r="J209" s="14"/>
    </row>
    <row r="210" customFormat="false" ht="15" hidden="false" customHeight="false" outlineLevel="0" collapsed="false">
      <c r="A210" s="15"/>
      <c r="B210" s="14"/>
      <c r="C210" s="14"/>
      <c r="D210" s="14"/>
      <c r="E210" s="14"/>
      <c r="F210" s="14"/>
      <c r="G210" s="16"/>
      <c r="H210" s="12" t="str">
        <f aca="false">IF(A210="","",A210+2)</f>
        <v/>
      </c>
      <c r="I210" s="13" t="str">
        <f aca="true">IF(A210="","",IF(AND(OR(F210="New",F210="Replied",F210="Quote sent"),TODAY()&gt;=H210),"Yes",""))</f>
        <v/>
      </c>
      <c r="J210" s="14"/>
    </row>
    <row r="211" customFormat="false" ht="15" hidden="false" customHeight="false" outlineLevel="0" collapsed="false">
      <c r="A211" s="15"/>
      <c r="B211" s="14"/>
      <c r="C211" s="14"/>
      <c r="D211" s="14"/>
      <c r="E211" s="14"/>
      <c r="F211" s="14"/>
      <c r="G211" s="16"/>
      <c r="H211" s="12" t="str">
        <f aca="false">IF(A211="","",A211+2)</f>
        <v/>
      </c>
      <c r="I211" s="13" t="str">
        <f aca="true">IF(A211="","",IF(AND(OR(F211="New",F211="Replied",F211="Quote sent"),TODAY()&gt;=H211),"Yes",""))</f>
        <v/>
      </c>
      <c r="J211" s="14"/>
    </row>
    <row r="212" customFormat="false" ht="15" hidden="false" customHeight="false" outlineLevel="0" collapsed="false">
      <c r="A212" s="15"/>
      <c r="B212" s="14"/>
      <c r="C212" s="14"/>
      <c r="D212" s="14"/>
      <c r="E212" s="14"/>
      <c r="F212" s="14"/>
      <c r="G212" s="16"/>
      <c r="H212" s="12" t="str">
        <f aca="false">IF(A212="","",A212+2)</f>
        <v/>
      </c>
      <c r="I212" s="13" t="str">
        <f aca="true">IF(A212="","",IF(AND(OR(F212="New",F212="Replied",F212="Quote sent"),TODAY()&gt;=H212),"Yes",""))</f>
        <v/>
      </c>
      <c r="J212" s="14"/>
    </row>
    <row r="213" customFormat="false" ht="15" hidden="false" customHeight="false" outlineLevel="0" collapsed="false">
      <c r="A213" s="15"/>
      <c r="B213" s="14"/>
      <c r="C213" s="14"/>
      <c r="D213" s="14"/>
      <c r="E213" s="14"/>
      <c r="F213" s="14"/>
      <c r="G213" s="16"/>
      <c r="H213" s="12" t="str">
        <f aca="false">IF(A213="","",A213+2)</f>
        <v/>
      </c>
      <c r="I213" s="13" t="str">
        <f aca="true">IF(A213="","",IF(AND(OR(F213="New",F213="Replied",F213="Quote sent"),TODAY()&gt;=H213),"Yes",""))</f>
        <v/>
      </c>
      <c r="J213" s="14"/>
    </row>
    <row r="214" customFormat="false" ht="15" hidden="false" customHeight="false" outlineLevel="0" collapsed="false">
      <c r="A214" s="15"/>
      <c r="B214" s="14"/>
      <c r="C214" s="14"/>
      <c r="D214" s="14"/>
      <c r="E214" s="14"/>
      <c r="F214" s="14"/>
      <c r="G214" s="16"/>
      <c r="H214" s="12" t="str">
        <f aca="false">IF(A214="","",A214+2)</f>
        <v/>
      </c>
      <c r="I214" s="13" t="str">
        <f aca="true">IF(A214="","",IF(AND(OR(F214="New",F214="Replied",F214="Quote sent"),TODAY()&gt;=H214),"Yes",""))</f>
        <v/>
      </c>
      <c r="J214" s="14"/>
    </row>
    <row r="215" customFormat="false" ht="15" hidden="false" customHeight="false" outlineLevel="0" collapsed="false">
      <c r="A215" s="15"/>
      <c r="B215" s="14"/>
      <c r="C215" s="14"/>
      <c r="D215" s="14"/>
      <c r="E215" s="14"/>
      <c r="F215" s="14"/>
      <c r="G215" s="16"/>
      <c r="H215" s="12" t="str">
        <f aca="false">IF(A215="","",A215+2)</f>
        <v/>
      </c>
      <c r="I215" s="13" t="str">
        <f aca="true">IF(A215="","",IF(AND(OR(F215="New",F215="Replied",F215="Quote sent"),TODAY()&gt;=H215),"Yes",""))</f>
        <v/>
      </c>
      <c r="J215" s="14"/>
    </row>
    <row r="216" customFormat="false" ht="15" hidden="false" customHeight="false" outlineLevel="0" collapsed="false">
      <c r="A216" s="15"/>
      <c r="B216" s="14"/>
      <c r="C216" s="14"/>
      <c r="D216" s="14"/>
      <c r="E216" s="14"/>
      <c r="F216" s="14"/>
      <c r="G216" s="16"/>
      <c r="H216" s="12" t="str">
        <f aca="false">IF(A216="","",A216+2)</f>
        <v/>
      </c>
      <c r="I216" s="13" t="str">
        <f aca="true">IF(A216="","",IF(AND(OR(F216="New",F216="Replied",F216="Quote sent"),TODAY()&gt;=H216),"Yes",""))</f>
        <v/>
      </c>
      <c r="J216" s="14"/>
    </row>
    <row r="217" customFormat="false" ht="15" hidden="false" customHeight="false" outlineLevel="0" collapsed="false">
      <c r="A217" s="15"/>
      <c r="B217" s="14"/>
      <c r="C217" s="14"/>
      <c r="D217" s="14"/>
      <c r="E217" s="14"/>
      <c r="F217" s="14"/>
      <c r="G217" s="16"/>
      <c r="H217" s="12" t="str">
        <f aca="false">IF(A217="","",A217+2)</f>
        <v/>
      </c>
      <c r="I217" s="13" t="str">
        <f aca="true">IF(A217="","",IF(AND(OR(F217="New",F217="Replied",F217="Quote sent"),TODAY()&gt;=H217),"Yes",""))</f>
        <v/>
      </c>
      <c r="J217" s="14"/>
    </row>
    <row r="218" customFormat="false" ht="15" hidden="false" customHeight="false" outlineLevel="0" collapsed="false">
      <c r="A218" s="15"/>
      <c r="B218" s="14"/>
      <c r="C218" s="14"/>
      <c r="D218" s="14"/>
      <c r="E218" s="14"/>
      <c r="F218" s="14"/>
      <c r="G218" s="16"/>
      <c r="H218" s="12" t="str">
        <f aca="false">IF(A218="","",A218+2)</f>
        <v/>
      </c>
      <c r="I218" s="13" t="str">
        <f aca="true">IF(A218="","",IF(AND(OR(F218="New",F218="Replied",F218="Quote sent"),TODAY()&gt;=H218),"Yes",""))</f>
        <v/>
      </c>
      <c r="J218" s="14"/>
    </row>
    <row r="219" customFormat="false" ht="15" hidden="false" customHeight="false" outlineLevel="0" collapsed="false">
      <c r="A219" s="15"/>
      <c r="B219" s="14"/>
      <c r="C219" s="14"/>
      <c r="D219" s="14"/>
      <c r="E219" s="14"/>
      <c r="F219" s="14"/>
      <c r="G219" s="16"/>
      <c r="H219" s="12" t="str">
        <f aca="false">IF(A219="","",A219+2)</f>
        <v/>
      </c>
      <c r="I219" s="13" t="str">
        <f aca="true">IF(A219="","",IF(AND(OR(F219="New",F219="Replied",F219="Quote sent"),TODAY()&gt;=H219),"Yes",""))</f>
        <v/>
      </c>
      <c r="J219" s="14"/>
    </row>
    <row r="220" customFormat="false" ht="15" hidden="false" customHeight="false" outlineLevel="0" collapsed="false">
      <c r="A220" s="15"/>
      <c r="B220" s="14"/>
      <c r="C220" s="14"/>
      <c r="D220" s="14"/>
      <c r="E220" s="14"/>
      <c r="F220" s="14"/>
      <c r="G220" s="16"/>
      <c r="H220" s="12" t="str">
        <f aca="false">IF(A220="","",A220+2)</f>
        <v/>
      </c>
      <c r="I220" s="13" t="str">
        <f aca="true">IF(A220="","",IF(AND(OR(F220="New",F220="Replied",F220="Quote sent"),TODAY()&gt;=H220),"Yes",""))</f>
        <v/>
      </c>
      <c r="J220" s="14"/>
    </row>
    <row r="221" customFormat="false" ht="15" hidden="false" customHeight="false" outlineLevel="0" collapsed="false">
      <c r="A221" s="15"/>
      <c r="B221" s="14"/>
      <c r="C221" s="14"/>
      <c r="D221" s="14"/>
      <c r="E221" s="14"/>
      <c r="F221" s="14"/>
      <c r="G221" s="16"/>
      <c r="H221" s="12" t="str">
        <f aca="false">IF(A221="","",A221+2)</f>
        <v/>
      </c>
      <c r="I221" s="13" t="str">
        <f aca="true">IF(A221="","",IF(AND(OR(F221="New",F221="Replied",F221="Quote sent"),TODAY()&gt;=H221),"Yes",""))</f>
        <v/>
      </c>
      <c r="J221" s="14"/>
    </row>
    <row r="222" customFormat="false" ht="15" hidden="false" customHeight="false" outlineLevel="0" collapsed="false">
      <c r="A222" s="15"/>
      <c r="B222" s="14"/>
      <c r="C222" s="14"/>
      <c r="D222" s="14"/>
      <c r="E222" s="14"/>
      <c r="F222" s="14"/>
      <c r="G222" s="16"/>
      <c r="H222" s="12" t="str">
        <f aca="false">IF(A222="","",A222+2)</f>
        <v/>
      </c>
      <c r="I222" s="13" t="str">
        <f aca="true">IF(A222="","",IF(AND(OR(F222="New",F222="Replied",F222="Quote sent"),TODAY()&gt;=H222),"Yes",""))</f>
        <v/>
      </c>
      <c r="J222" s="14"/>
    </row>
    <row r="223" customFormat="false" ht="15" hidden="false" customHeight="false" outlineLevel="0" collapsed="false">
      <c r="A223" s="15"/>
      <c r="B223" s="14"/>
      <c r="C223" s="14"/>
      <c r="D223" s="14"/>
      <c r="E223" s="14"/>
      <c r="F223" s="14"/>
      <c r="G223" s="16"/>
      <c r="H223" s="12" t="str">
        <f aca="false">IF(A223="","",A223+2)</f>
        <v/>
      </c>
      <c r="I223" s="13" t="str">
        <f aca="true">IF(A223="","",IF(AND(OR(F223="New",F223="Replied",F223="Quote sent"),TODAY()&gt;=H223),"Yes",""))</f>
        <v/>
      </c>
      <c r="J223" s="14"/>
    </row>
    <row r="224" customFormat="false" ht="15" hidden="false" customHeight="false" outlineLevel="0" collapsed="false">
      <c r="A224" s="15"/>
      <c r="B224" s="14"/>
      <c r="C224" s="14"/>
      <c r="D224" s="14"/>
      <c r="E224" s="14"/>
      <c r="F224" s="14"/>
      <c r="G224" s="16"/>
      <c r="H224" s="12" t="str">
        <f aca="false">IF(A224="","",A224+2)</f>
        <v/>
      </c>
      <c r="I224" s="13" t="str">
        <f aca="true">IF(A224="","",IF(AND(OR(F224="New",F224="Replied",F224="Quote sent"),TODAY()&gt;=H224),"Yes",""))</f>
        <v/>
      </c>
      <c r="J224" s="14"/>
    </row>
    <row r="225" customFormat="false" ht="15" hidden="false" customHeight="false" outlineLevel="0" collapsed="false">
      <c r="A225" s="15"/>
      <c r="B225" s="14"/>
      <c r="C225" s="14"/>
      <c r="D225" s="14"/>
      <c r="E225" s="14"/>
      <c r="F225" s="14"/>
      <c r="G225" s="16"/>
      <c r="H225" s="12" t="str">
        <f aca="false">IF(A225="","",A225+2)</f>
        <v/>
      </c>
      <c r="I225" s="13" t="str">
        <f aca="true">IF(A225="","",IF(AND(OR(F225="New",F225="Replied",F225="Quote sent"),TODAY()&gt;=H225),"Yes",""))</f>
        <v/>
      </c>
      <c r="J225" s="14"/>
    </row>
    <row r="226" customFormat="false" ht="15" hidden="false" customHeight="false" outlineLevel="0" collapsed="false">
      <c r="A226" s="15"/>
      <c r="B226" s="14"/>
      <c r="C226" s="14"/>
      <c r="D226" s="14"/>
      <c r="E226" s="14"/>
      <c r="F226" s="14"/>
      <c r="G226" s="16"/>
      <c r="H226" s="12" t="str">
        <f aca="false">IF(A226="","",A226+2)</f>
        <v/>
      </c>
      <c r="I226" s="13" t="str">
        <f aca="true">IF(A226="","",IF(AND(OR(F226="New",F226="Replied",F226="Quote sent"),TODAY()&gt;=H226),"Yes",""))</f>
        <v/>
      </c>
      <c r="J226" s="14"/>
    </row>
    <row r="227" customFormat="false" ht="15" hidden="false" customHeight="false" outlineLevel="0" collapsed="false">
      <c r="A227" s="15"/>
      <c r="B227" s="14"/>
      <c r="C227" s="14"/>
      <c r="D227" s="14"/>
      <c r="E227" s="14"/>
      <c r="F227" s="14"/>
      <c r="G227" s="16"/>
      <c r="H227" s="12" t="str">
        <f aca="false">IF(A227="","",A227+2)</f>
        <v/>
      </c>
      <c r="I227" s="13" t="str">
        <f aca="true">IF(A227="","",IF(AND(OR(F227="New",F227="Replied",F227="Quote sent"),TODAY()&gt;=H227),"Yes",""))</f>
        <v/>
      </c>
      <c r="J227" s="14"/>
    </row>
    <row r="228" customFormat="false" ht="15" hidden="false" customHeight="false" outlineLevel="0" collapsed="false">
      <c r="A228" s="15"/>
      <c r="B228" s="14"/>
      <c r="C228" s="14"/>
      <c r="D228" s="14"/>
      <c r="E228" s="14"/>
      <c r="F228" s="14"/>
      <c r="G228" s="16"/>
      <c r="H228" s="12" t="str">
        <f aca="false">IF(A228="","",A228+2)</f>
        <v/>
      </c>
      <c r="I228" s="13" t="str">
        <f aca="true">IF(A228="","",IF(AND(OR(F228="New",F228="Replied",F228="Quote sent"),TODAY()&gt;=H228),"Yes",""))</f>
        <v/>
      </c>
      <c r="J228" s="14"/>
    </row>
    <row r="229" customFormat="false" ht="15" hidden="false" customHeight="false" outlineLevel="0" collapsed="false">
      <c r="A229" s="15"/>
      <c r="B229" s="14"/>
      <c r="C229" s="14"/>
      <c r="D229" s="14"/>
      <c r="E229" s="14"/>
      <c r="F229" s="14"/>
      <c r="G229" s="16"/>
      <c r="H229" s="12" t="str">
        <f aca="false">IF(A229="","",A229+2)</f>
        <v/>
      </c>
      <c r="I229" s="13" t="str">
        <f aca="true">IF(A229="","",IF(AND(OR(F229="New",F229="Replied",F229="Quote sent"),TODAY()&gt;=H229),"Yes",""))</f>
        <v/>
      </c>
      <c r="J229" s="14"/>
    </row>
    <row r="230" customFormat="false" ht="15" hidden="false" customHeight="false" outlineLevel="0" collapsed="false">
      <c r="A230" s="15"/>
      <c r="B230" s="14"/>
      <c r="C230" s="14"/>
      <c r="D230" s="14"/>
      <c r="E230" s="14"/>
      <c r="F230" s="14"/>
      <c r="G230" s="16"/>
      <c r="H230" s="12" t="str">
        <f aca="false">IF(A230="","",A230+2)</f>
        <v/>
      </c>
      <c r="I230" s="13" t="str">
        <f aca="true">IF(A230="","",IF(AND(OR(F230="New",F230="Replied",F230="Quote sent"),TODAY()&gt;=H230),"Yes",""))</f>
        <v/>
      </c>
      <c r="J230" s="14"/>
    </row>
    <row r="231" customFormat="false" ht="15" hidden="false" customHeight="false" outlineLevel="0" collapsed="false">
      <c r="A231" s="15"/>
      <c r="B231" s="14"/>
      <c r="C231" s="14"/>
      <c r="D231" s="14"/>
      <c r="E231" s="14"/>
      <c r="F231" s="14"/>
      <c r="G231" s="16"/>
      <c r="H231" s="12" t="str">
        <f aca="false">IF(A231="","",A231+2)</f>
        <v/>
      </c>
      <c r="I231" s="13" t="str">
        <f aca="true">IF(A231="","",IF(AND(OR(F231="New",F231="Replied",F231="Quote sent"),TODAY()&gt;=H231),"Yes",""))</f>
        <v/>
      </c>
      <c r="J231" s="14"/>
    </row>
    <row r="232" customFormat="false" ht="15" hidden="false" customHeight="false" outlineLevel="0" collapsed="false">
      <c r="A232" s="15"/>
      <c r="B232" s="14"/>
      <c r="C232" s="14"/>
      <c r="D232" s="14"/>
      <c r="E232" s="14"/>
      <c r="F232" s="14"/>
      <c r="G232" s="16"/>
      <c r="H232" s="12" t="str">
        <f aca="false">IF(A232="","",A232+2)</f>
        <v/>
      </c>
      <c r="I232" s="13" t="str">
        <f aca="true">IF(A232="","",IF(AND(OR(F232="New",F232="Replied",F232="Quote sent"),TODAY()&gt;=H232),"Yes",""))</f>
        <v/>
      </c>
      <c r="J232" s="14"/>
    </row>
    <row r="233" customFormat="false" ht="15" hidden="false" customHeight="false" outlineLevel="0" collapsed="false">
      <c r="A233" s="15"/>
      <c r="B233" s="14"/>
      <c r="C233" s="14"/>
      <c r="D233" s="14"/>
      <c r="E233" s="14"/>
      <c r="F233" s="14"/>
      <c r="G233" s="16"/>
      <c r="H233" s="12" t="str">
        <f aca="false">IF(A233="","",A233+2)</f>
        <v/>
      </c>
      <c r="I233" s="13" t="str">
        <f aca="true">IF(A233="","",IF(AND(OR(F233="New",F233="Replied",F233="Quote sent"),TODAY()&gt;=H233),"Yes",""))</f>
        <v/>
      </c>
      <c r="J233" s="14"/>
    </row>
    <row r="234" customFormat="false" ht="15" hidden="false" customHeight="false" outlineLevel="0" collapsed="false">
      <c r="A234" s="15"/>
      <c r="B234" s="14"/>
      <c r="C234" s="14"/>
      <c r="D234" s="14"/>
      <c r="E234" s="14"/>
      <c r="F234" s="14"/>
      <c r="G234" s="16"/>
      <c r="H234" s="12" t="str">
        <f aca="false">IF(A234="","",A234+2)</f>
        <v/>
      </c>
      <c r="I234" s="13" t="str">
        <f aca="true">IF(A234="","",IF(AND(OR(F234="New",F234="Replied",F234="Quote sent"),TODAY()&gt;=H234),"Yes",""))</f>
        <v/>
      </c>
      <c r="J234" s="14"/>
    </row>
    <row r="235" customFormat="false" ht="15" hidden="false" customHeight="false" outlineLevel="0" collapsed="false">
      <c r="A235" s="15"/>
      <c r="B235" s="14"/>
      <c r="C235" s="14"/>
      <c r="D235" s="14"/>
      <c r="E235" s="14"/>
      <c r="F235" s="14"/>
      <c r="G235" s="16"/>
      <c r="H235" s="12" t="str">
        <f aca="false">IF(A235="","",A235+2)</f>
        <v/>
      </c>
      <c r="I235" s="13" t="str">
        <f aca="true">IF(A235="","",IF(AND(OR(F235="New",F235="Replied",F235="Quote sent"),TODAY()&gt;=H235),"Yes",""))</f>
        <v/>
      </c>
      <c r="J235" s="14"/>
    </row>
    <row r="236" customFormat="false" ht="15" hidden="false" customHeight="false" outlineLevel="0" collapsed="false">
      <c r="A236" s="15"/>
      <c r="B236" s="14"/>
      <c r="C236" s="14"/>
      <c r="D236" s="14"/>
      <c r="E236" s="14"/>
      <c r="F236" s="14"/>
      <c r="G236" s="16"/>
      <c r="H236" s="12" t="str">
        <f aca="false">IF(A236="","",A236+2)</f>
        <v/>
      </c>
      <c r="I236" s="13" t="str">
        <f aca="true">IF(A236="","",IF(AND(OR(F236="New",F236="Replied",F236="Quote sent"),TODAY()&gt;=H236),"Yes",""))</f>
        <v/>
      </c>
      <c r="J236" s="14"/>
    </row>
    <row r="237" customFormat="false" ht="15" hidden="false" customHeight="false" outlineLevel="0" collapsed="false">
      <c r="A237" s="15"/>
      <c r="B237" s="14"/>
      <c r="C237" s="14"/>
      <c r="D237" s="14"/>
      <c r="E237" s="14"/>
      <c r="F237" s="14"/>
      <c r="G237" s="16"/>
      <c r="H237" s="12" t="str">
        <f aca="false">IF(A237="","",A237+2)</f>
        <v/>
      </c>
      <c r="I237" s="13" t="str">
        <f aca="true">IF(A237="","",IF(AND(OR(F237="New",F237="Replied",F237="Quote sent"),TODAY()&gt;=H237),"Yes",""))</f>
        <v/>
      </c>
      <c r="J237" s="14"/>
    </row>
    <row r="238" customFormat="false" ht="15" hidden="false" customHeight="false" outlineLevel="0" collapsed="false">
      <c r="A238" s="15"/>
      <c r="B238" s="14"/>
      <c r="C238" s="14"/>
      <c r="D238" s="14"/>
      <c r="E238" s="14"/>
      <c r="F238" s="14"/>
      <c r="G238" s="16"/>
      <c r="H238" s="12" t="str">
        <f aca="false">IF(A238="","",A238+2)</f>
        <v/>
      </c>
      <c r="I238" s="13" t="str">
        <f aca="true">IF(A238="","",IF(AND(OR(F238="New",F238="Replied",F238="Quote sent"),TODAY()&gt;=H238),"Yes",""))</f>
        <v/>
      </c>
      <c r="J238" s="14"/>
    </row>
    <row r="239" customFormat="false" ht="15" hidden="false" customHeight="false" outlineLevel="0" collapsed="false">
      <c r="A239" s="15"/>
      <c r="B239" s="14"/>
      <c r="C239" s="14"/>
      <c r="D239" s="14"/>
      <c r="E239" s="14"/>
      <c r="F239" s="14"/>
      <c r="G239" s="16"/>
      <c r="H239" s="12" t="str">
        <f aca="false">IF(A239="","",A239+2)</f>
        <v/>
      </c>
      <c r="I239" s="13" t="str">
        <f aca="true">IF(A239="","",IF(AND(OR(F239="New",F239="Replied",F239="Quote sent"),TODAY()&gt;=H239),"Yes",""))</f>
        <v/>
      </c>
      <c r="J239" s="14"/>
    </row>
    <row r="240" customFormat="false" ht="15" hidden="false" customHeight="false" outlineLevel="0" collapsed="false">
      <c r="A240" s="15"/>
      <c r="B240" s="14"/>
      <c r="C240" s="14"/>
      <c r="D240" s="14"/>
      <c r="E240" s="14"/>
      <c r="F240" s="14"/>
      <c r="G240" s="16"/>
      <c r="H240" s="12" t="str">
        <f aca="false">IF(A240="","",A240+2)</f>
        <v/>
      </c>
      <c r="I240" s="13" t="str">
        <f aca="true">IF(A240="","",IF(AND(OR(F240="New",F240="Replied",F240="Quote sent"),TODAY()&gt;=H240),"Yes",""))</f>
        <v/>
      </c>
      <c r="J240" s="14"/>
    </row>
    <row r="241" customFormat="false" ht="15" hidden="false" customHeight="false" outlineLevel="0" collapsed="false">
      <c r="A241" s="15"/>
      <c r="B241" s="14"/>
      <c r="C241" s="14"/>
      <c r="D241" s="14"/>
      <c r="E241" s="14"/>
      <c r="F241" s="14"/>
      <c r="G241" s="16"/>
      <c r="H241" s="12" t="str">
        <f aca="false">IF(A241="","",A241+2)</f>
        <v/>
      </c>
      <c r="I241" s="13" t="str">
        <f aca="true">IF(A241="","",IF(AND(OR(F241="New",F241="Replied",F241="Quote sent"),TODAY()&gt;=H241),"Yes",""))</f>
        <v/>
      </c>
      <c r="J241" s="14"/>
    </row>
    <row r="242" customFormat="false" ht="15" hidden="false" customHeight="false" outlineLevel="0" collapsed="false">
      <c r="A242" s="15"/>
      <c r="B242" s="14"/>
      <c r="C242" s="14"/>
      <c r="D242" s="14"/>
      <c r="E242" s="14"/>
      <c r="F242" s="14"/>
      <c r="G242" s="16"/>
      <c r="H242" s="12" t="str">
        <f aca="false">IF(A242="","",A242+2)</f>
        <v/>
      </c>
      <c r="I242" s="13" t="str">
        <f aca="true">IF(A242="","",IF(AND(OR(F242="New",F242="Replied",F242="Quote sent"),TODAY()&gt;=H242),"Yes",""))</f>
        <v/>
      </c>
      <c r="J242" s="14"/>
    </row>
    <row r="243" customFormat="false" ht="15" hidden="false" customHeight="false" outlineLevel="0" collapsed="false">
      <c r="A243" s="15"/>
      <c r="B243" s="14"/>
      <c r="C243" s="14"/>
      <c r="D243" s="14"/>
      <c r="E243" s="14"/>
      <c r="F243" s="14"/>
      <c r="G243" s="16"/>
      <c r="H243" s="12" t="str">
        <f aca="false">IF(A243="","",A243+2)</f>
        <v/>
      </c>
      <c r="I243" s="13" t="str">
        <f aca="true">IF(A243="","",IF(AND(OR(F243="New",F243="Replied",F243="Quote sent"),TODAY()&gt;=H243),"Yes",""))</f>
        <v/>
      </c>
      <c r="J243" s="14"/>
    </row>
    <row r="244" customFormat="false" ht="15" hidden="false" customHeight="false" outlineLevel="0" collapsed="false">
      <c r="A244" s="15"/>
      <c r="B244" s="14"/>
      <c r="C244" s="14"/>
      <c r="D244" s="14"/>
      <c r="E244" s="14"/>
      <c r="F244" s="14"/>
      <c r="G244" s="16"/>
      <c r="H244" s="12" t="str">
        <f aca="false">IF(A244="","",A244+2)</f>
        <v/>
      </c>
      <c r="I244" s="13" t="str">
        <f aca="true">IF(A244="","",IF(AND(OR(F244="New",F244="Replied",F244="Quote sent"),TODAY()&gt;=H244),"Yes",""))</f>
        <v/>
      </c>
      <c r="J244" s="14"/>
    </row>
    <row r="245" customFormat="false" ht="15" hidden="false" customHeight="false" outlineLevel="0" collapsed="false">
      <c r="A245" s="15"/>
      <c r="B245" s="14"/>
      <c r="C245" s="14"/>
      <c r="D245" s="14"/>
      <c r="E245" s="14"/>
      <c r="F245" s="14"/>
      <c r="G245" s="16"/>
      <c r="H245" s="12" t="str">
        <f aca="false">IF(A245="","",A245+2)</f>
        <v/>
      </c>
      <c r="I245" s="13" t="str">
        <f aca="true">IF(A245="","",IF(AND(OR(F245="New",F245="Replied",F245="Quote sent"),TODAY()&gt;=H245),"Yes",""))</f>
        <v/>
      </c>
      <c r="J245" s="14"/>
    </row>
    <row r="246" customFormat="false" ht="15" hidden="false" customHeight="false" outlineLevel="0" collapsed="false">
      <c r="A246" s="15"/>
      <c r="B246" s="14"/>
      <c r="C246" s="14"/>
      <c r="D246" s="14"/>
      <c r="E246" s="14"/>
      <c r="F246" s="14"/>
      <c r="G246" s="16"/>
      <c r="H246" s="12" t="str">
        <f aca="false">IF(A246="","",A246+2)</f>
        <v/>
      </c>
      <c r="I246" s="13" t="str">
        <f aca="true">IF(A246="","",IF(AND(OR(F246="New",F246="Replied",F246="Quote sent"),TODAY()&gt;=H246),"Yes",""))</f>
        <v/>
      </c>
      <c r="J246" s="14"/>
    </row>
    <row r="247" customFormat="false" ht="15" hidden="false" customHeight="false" outlineLevel="0" collapsed="false">
      <c r="A247" s="15"/>
      <c r="B247" s="14"/>
      <c r="C247" s="14"/>
      <c r="D247" s="14"/>
      <c r="E247" s="14"/>
      <c r="F247" s="14"/>
      <c r="G247" s="16"/>
      <c r="H247" s="12" t="str">
        <f aca="false">IF(A247="","",A247+2)</f>
        <v/>
      </c>
      <c r="I247" s="13" t="str">
        <f aca="true">IF(A247="","",IF(AND(OR(F247="New",F247="Replied",F247="Quote sent"),TODAY()&gt;=H247),"Yes",""))</f>
        <v/>
      </c>
      <c r="J247" s="14"/>
    </row>
    <row r="248" customFormat="false" ht="15" hidden="false" customHeight="false" outlineLevel="0" collapsed="false">
      <c r="A248" s="15"/>
      <c r="B248" s="14"/>
      <c r="C248" s="14"/>
      <c r="D248" s="14"/>
      <c r="E248" s="14"/>
      <c r="F248" s="14"/>
      <c r="G248" s="16"/>
      <c r="H248" s="12" t="str">
        <f aca="false">IF(A248="","",A248+2)</f>
        <v/>
      </c>
      <c r="I248" s="13" t="str">
        <f aca="true">IF(A248="","",IF(AND(OR(F248="New",F248="Replied",F248="Quote sent"),TODAY()&gt;=H248),"Yes",""))</f>
        <v/>
      </c>
      <c r="J248" s="14"/>
    </row>
    <row r="249" customFormat="false" ht="15" hidden="false" customHeight="false" outlineLevel="0" collapsed="false">
      <c r="A249" s="15"/>
      <c r="B249" s="14"/>
      <c r="C249" s="14"/>
      <c r="D249" s="14"/>
      <c r="E249" s="14"/>
      <c r="F249" s="14"/>
      <c r="G249" s="16"/>
      <c r="H249" s="12" t="str">
        <f aca="false">IF(A249="","",A249+2)</f>
        <v/>
      </c>
      <c r="I249" s="13" t="str">
        <f aca="true">IF(A249="","",IF(AND(OR(F249="New",F249="Replied",F249="Quote sent"),TODAY()&gt;=H249),"Yes",""))</f>
        <v/>
      </c>
      <c r="J249" s="14"/>
    </row>
    <row r="250" customFormat="false" ht="15" hidden="false" customHeight="false" outlineLevel="0" collapsed="false">
      <c r="A250" s="15"/>
      <c r="B250" s="14"/>
      <c r="C250" s="14"/>
      <c r="D250" s="14"/>
      <c r="E250" s="14"/>
      <c r="F250" s="14"/>
      <c r="G250" s="16"/>
      <c r="H250" s="12" t="str">
        <f aca="false">IF(A250="","",A250+2)</f>
        <v/>
      </c>
      <c r="I250" s="13" t="str">
        <f aca="true">IF(A250="","",IF(AND(OR(F250="New",F250="Replied",F250="Quote sent"),TODAY()&gt;=H250),"Yes",""))</f>
        <v/>
      </c>
      <c r="J250" s="14"/>
    </row>
    <row r="251" customFormat="false" ht="15" hidden="false" customHeight="false" outlineLevel="0" collapsed="false">
      <c r="A251" s="15"/>
      <c r="B251" s="14"/>
      <c r="C251" s="14"/>
      <c r="D251" s="14"/>
      <c r="E251" s="14"/>
      <c r="F251" s="14"/>
      <c r="G251" s="16"/>
      <c r="H251" s="12" t="str">
        <f aca="false">IF(A251="","",A251+2)</f>
        <v/>
      </c>
      <c r="I251" s="13" t="str">
        <f aca="true">IF(A251="","",IF(AND(OR(F251="New",F251="Replied",F251="Quote sent"),TODAY()&gt;=H251),"Yes",""))</f>
        <v/>
      </c>
      <c r="J251" s="14"/>
    </row>
    <row r="252" customFormat="false" ht="15" hidden="false" customHeight="false" outlineLevel="0" collapsed="false">
      <c r="A252" s="15"/>
      <c r="B252" s="14"/>
      <c r="C252" s="14"/>
      <c r="D252" s="14"/>
      <c r="E252" s="14"/>
      <c r="F252" s="14"/>
      <c r="G252" s="16"/>
      <c r="H252" s="12" t="str">
        <f aca="false">IF(A252="","",A252+2)</f>
        <v/>
      </c>
      <c r="I252" s="13" t="str">
        <f aca="true">IF(A252="","",IF(AND(OR(F252="New",F252="Replied",F252="Quote sent"),TODAY()&gt;=H252),"Yes",""))</f>
        <v/>
      </c>
      <c r="J252" s="14"/>
    </row>
    <row r="253" customFormat="false" ht="15" hidden="false" customHeight="false" outlineLevel="0" collapsed="false">
      <c r="A253" s="15"/>
      <c r="B253" s="14"/>
      <c r="C253" s="14"/>
      <c r="D253" s="14"/>
      <c r="E253" s="14"/>
      <c r="F253" s="14"/>
      <c r="G253" s="16"/>
      <c r="H253" s="12" t="str">
        <f aca="false">IF(A253="","",A253+2)</f>
        <v/>
      </c>
      <c r="I253" s="13" t="str">
        <f aca="true">IF(A253="","",IF(AND(OR(F253="New",F253="Replied",F253="Quote sent"),TODAY()&gt;=H253),"Yes",""))</f>
        <v/>
      </c>
      <c r="J253" s="14"/>
    </row>
    <row r="254" customFormat="false" ht="15" hidden="false" customHeight="false" outlineLevel="0" collapsed="false">
      <c r="A254" s="15"/>
      <c r="B254" s="14"/>
      <c r="C254" s="14"/>
      <c r="D254" s="14"/>
      <c r="E254" s="14"/>
      <c r="F254" s="14"/>
      <c r="G254" s="16"/>
      <c r="H254" s="12" t="str">
        <f aca="false">IF(A254="","",A254+2)</f>
        <v/>
      </c>
      <c r="I254" s="13" t="str">
        <f aca="true">IF(A254="","",IF(AND(OR(F254="New",F254="Replied",F254="Quote sent"),TODAY()&gt;=H254),"Yes",""))</f>
        <v/>
      </c>
      <c r="J254" s="14"/>
    </row>
    <row r="255" customFormat="false" ht="15" hidden="false" customHeight="false" outlineLevel="0" collapsed="false">
      <c r="A255" s="15"/>
      <c r="B255" s="14"/>
      <c r="C255" s="14"/>
      <c r="D255" s="14"/>
      <c r="E255" s="14"/>
      <c r="F255" s="14"/>
      <c r="G255" s="16"/>
      <c r="H255" s="12" t="str">
        <f aca="false">IF(A255="","",A255+2)</f>
        <v/>
      </c>
      <c r="I255" s="13" t="str">
        <f aca="true">IF(A255="","",IF(AND(OR(F255="New",F255="Replied",F255="Quote sent"),TODAY()&gt;=H255),"Yes",""))</f>
        <v/>
      </c>
      <c r="J255" s="14"/>
    </row>
    <row r="256" customFormat="false" ht="15" hidden="false" customHeight="false" outlineLevel="0" collapsed="false">
      <c r="A256" s="15"/>
      <c r="B256" s="14"/>
      <c r="C256" s="14"/>
      <c r="D256" s="14"/>
      <c r="E256" s="14"/>
      <c r="F256" s="14"/>
      <c r="G256" s="16"/>
      <c r="H256" s="12" t="str">
        <f aca="false">IF(A256="","",A256+2)</f>
        <v/>
      </c>
      <c r="I256" s="13" t="str">
        <f aca="true">IF(A256="","",IF(AND(OR(F256="New",F256="Replied",F256="Quote sent"),TODAY()&gt;=H256),"Yes",""))</f>
        <v/>
      </c>
      <c r="J256" s="14"/>
    </row>
    <row r="257" customFormat="false" ht="15" hidden="false" customHeight="false" outlineLevel="0" collapsed="false">
      <c r="A257" s="15"/>
      <c r="B257" s="14"/>
      <c r="C257" s="14"/>
      <c r="D257" s="14"/>
      <c r="E257" s="14"/>
      <c r="F257" s="14"/>
      <c r="G257" s="16"/>
      <c r="H257" s="12" t="str">
        <f aca="false">IF(A257="","",A257+2)</f>
        <v/>
      </c>
      <c r="I257" s="13" t="str">
        <f aca="true">IF(A257="","",IF(AND(OR(F257="New",F257="Replied",F257="Quote sent"),TODAY()&gt;=H257),"Yes",""))</f>
        <v/>
      </c>
      <c r="J257" s="14"/>
    </row>
    <row r="258" customFormat="false" ht="15" hidden="false" customHeight="false" outlineLevel="0" collapsed="false">
      <c r="A258" s="15"/>
      <c r="B258" s="14"/>
      <c r="C258" s="14"/>
      <c r="D258" s="14"/>
      <c r="E258" s="14"/>
      <c r="F258" s="14"/>
      <c r="G258" s="16"/>
      <c r="H258" s="12" t="str">
        <f aca="false">IF(A258="","",A258+2)</f>
        <v/>
      </c>
      <c r="I258" s="13" t="str">
        <f aca="true">IF(A258="","",IF(AND(OR(F258="New",F258="Replied",F258="Quote sent"),TODAY()&gt;=H258),"Yes",""))</f>
        <v/>
      </c>
      <c r="J258" s="14"/>
    </row>
    <row r="259" customFormat="false" ht="15" hidden="false" customHeight="false" outlineLevel="0" collapsed="false">
      <c r="A259" s="15"/>
      <c r="B259" s="14"/>
      <c r="C259" s="14"/>
      <c r="D259" s="14"/>
      <c r="E259" s="14"/>
      <c r="F259" s="14"/>
      <c r="G259" s="16"/>
      <c r="H259" s="12" t="str">
        <f aca="false">IF(A259="","",A259+2)</f>
        <v/>
      </c>
      <c r="I259" s="13" t="str">
        <f aca="true">IF(A259="","",IF(AND(OR(F259="New",F259="Replied",F259="Quote sent"),TODAY()&gt;=H259),"Yes",""))</f>
        <v/>
      </c>
      <c r="J259" s="14"/>
    </row>
    <row r="260" customFormat="false" ht="15" hidden="false" customHeight="false" outlineLevel="0" collapsed="false">
      <c r="A260" s="15"/>
      <c r="B260" s="14"/>
      <c r="C260" s="14"/>
      <c r="D260" s="14"/>
      <c r="E260" s="14"/>
      <c r="F260" s="14"/>
      <c r="G260" s="16"/>
      <c r="H260" s="12" t="str">
        <f aca="false">IF(A260="","",A260+2)</f>
        <v/>
      </c>
      <c r="I260" s="13" t="str">
        <f aca="true">IF(A260="","",IF(AND(OR(F260="New",F260="Replied",F260="Quote sent"),TODAY()&gt;=H260),"Yes",""))</f>
        <v/>
      </c>
      <c r="J260" s="14"/>
    </row>
    <row r="261" customFormat="false" ht="15" hidden="false" customHeight="false" outlineLevel="0" collapsed="false">
      <c r="A261" s="15"/>
      <c r="B261" s="14"/>
      <c r="C261" s="14"/>
      <c r="D261" s="14"/>
      <c r="E261" s="14"/>
      <c r="F261" s="14"/>
      <c r="G261" s="16"/>
      <c r="H261" s="12" t="str">
        <f aca="false">IF(A261="","",A261+2)</f>
        <v/>
      </c>
      <c r="I261" s="13" t="str">
        <f aca="true">IF(A261="","",IF(AND(OR(F261="New",F261="Replied",F261="Quote sent"),TODAY()&gt;=H261),"Yes",""))</f>
        <v/>
      </c>
      <c r="J261" s="14"/>
    </row>
    <row r="262" customFormat="false" ht="15" hidden="false" customHeight="false" outlineLevel="0" collapsed="false">
      <c r="A262" s="15"/>
      <c r="B262" s="14"/>
      <c r="C262" s="14"/>
      <c r="D262" s="14"/>
      <c r="E262" s="14"/>
      <c r="F262" s="14"/>
      <c r="G262" s="16"/>
      <c r="H262" s="12" t="str">
        <f aca="false">IF(A262="","",A262+2)</f>
        <v/>
      </c>
      <c r="I262" s="13" t="str">
        <f aca="true">IF(A262="","",IF(AND(OR(F262="New",F262="Replied",F262="Quote sent"),TODAY()&gt;=H262),"Yes",""))</f>
        <v/>
      </c>
      <c r="J262" s="14"/>
    </row>
    <row r="263" customFormat="false" ht="15" hidden="false" customHeight="false" outlineLevel="0" collapsed="false">
      <c r="A263" s="15"/>
      <c r="B263" s="14"/>
      <c r="C263" s="14"/>
      <c r="D263" s="14"/>
      <c r="E263" s="14"/>
      <c r="F263" s="14"/>
      <c r="G263" s="16"/>
      <c r="H263" s="12" t="str">
        <f aca="false">IF(A263="","",A263+2)</f>
        <v/>
      </c>
      <c r="I263" s="13" t="str">
        <f aca="true">IF(A263="","",IF(AND(OR(F263="New",F263="Replied",F263="Quote sent"),TODAY()&gt;=H263),"Yes",""))</f>
        <v/>
      </c>
      <c r="J263" s="14"/>
    </row>
    <row r="264" customFormat="false" ht="15" hidden="false" customHeight="false" outlineLevel="0" collapsed="false">
      <c r="A264" s="15"/>
      <c r="B264" s="14"/>
      <c r="C264" s="14"/>
      <c r="D264" s="14"/>
      <c r="E264" s="14"/>
      <c r="F264" s="14"/>
      <c r="G264" s="16"/>
      <c r="H264" s="12" t="str">
        <f aca="false">IF(A264="","",A264+2)</f>
        <v/>
      </c>
      <c r="I264" s="13" t="str">
        <f aca="true">IF(A264="","",IF(AND(OR(F264="New",F264="Replied",F264="Quote sent"),TODAY()&gt;=H264),"Yes",""))</f>
        <v/>
      </c>
      <c r="J264" s="14"/>
    </row>
    <row r="265" customFormat="false" ht="15" hidden="false" customHeight="false" outlineLevel="0" collapsed="false">
      <c r="A265" s="15"/>
      <c r="B265" s="14"/>
      <c r="C265" s="14"/>
      <c r="D265" s="14"/>
      <c r="E265" s="14"/>
      <c r="F265" s="14"/>
      <c r="G265" s="16"/>
      <c r="H265" s="12" t="str">
        <f aca="false">IF(A265="","",A265+2)</f>
        <v/>
      </c>
      <c r="I265" s="13" t="str">
        <f aca="true">IF(A265="","",IF(AND(OR(F265="New",F265="Replied",F265="Quote sent"),TODAY()&gt;=H265),"Yes",""))</f>
        <v/>
      </c>
      <c r="J265" s="14"/>
    </row>
    <row r="266" customFormat="false" ht="15" hidden="false" customHeight="false" outlineLevel="0" collapsed="false">
      <c r="A266" s="15"/>
      <c r="B266" s="14"/>
      <c r="C266" s="14"/>
      <c r="D266" s="14"/>
      <c r="E266" s="14"/>
      <c r="F266" s="14"/>
      <c r="G266" s="16"/>
      <c r="H266" s="12" t="str">
        <f aca="false">IF(A266="","",A266+2)</f>
        <v/>
      </c>
      <c r="I266" s="13" t="str">
        <f aca="true">IF(A266="","",IF(AND(OR(F266="New",F266="Replied",F266="Quote sent"),TODAY()&gt;=H266),"Yes",""))</f>
        <v/>
      </c>
      <c r="J266" s="14"/>
    </row>
    <row r="267" customFormat="false" ht="15" hidden="false" customHeight="false" outlineLevel="0" collapsed="false">
      <c r="A267" s="15"/>
      <c r="B267" s="14"/>
      <c r="C267" s="14"/>
      <c r="D267" s="14"/>
      <c r="E267" s="14"/>
      <c r="F267" s="14"/>
      <c r="G267" s="16"/>
      <c r="H267" s="12" t="str">
        <f aca="false">IF(A267="","",A267+2)</f>
        <v/>
      </c>
      <c r="I267" s="13" t="str">
        <f aca="true">IF(A267="","",IF(AND(OR(F267="New",F267="Replied",F267="Quote sent"),TODAY()&gt;=H267),"Yes",""))</f>
        <v/>
      </c>
      <c r="J267" s="14"/>
    </row>
    <row r="268" customFormat="false" ht="15" hidden="false" customHeight="false" outlineLevel="0" collapsed="false">
      <c r="A268" s="15"/>
      <c r="B268" s="14"/>
      <c r="C268" s="14"/>
      <c r="D268" s="14"/>
      <c r="E268" s="14"/>
      <c r="F268" s="14"/>
      <c r="G268" s="16"/>
      <c r="H268" s="12" t="str">
        <f aca="false">IF(A268="","",A268+2)</f>
        <v/>
      </c>
      <c r="I268" s="13" t="str">
        <f aca="true">IF(A268="","",IF(AND(OR(F268="New",F268="Replied",F268="Quote sent"),TODAY()&gt;=H268),"Yes",""))</f>
        <v/>
      </c>
      <c r="J268" s="14"/>
    </row>
    <row r="269" customFormat="false" ht="15" hidden="false" customHeight="false" outlineLevel="0" collapsed="false">
      <c r="A269" s="15"/>
      <c r="B269" s="14"/>
      <c r="C269" s="14"/>
      <c r="D269" s="14"/>
      <c r="E269" s="14"/>
      <c r="F269" s="14"/>
      <c r="G269" s="16"/>
      <c r="H269" s="12" t="str">
        <f aca="false">IF(A269="","",A269+2)</f>
        <v/>
      </c>
      <c r="I269" s="13" t="str">
        <f aca="true">IF(A269="","",IF(AND(OR(F269="New",F269="Replied",F269="Quote sent"),TODAY()&gt;=H269),"Yes",""))</f>
        <v/>
      </c>
      <c r="J269" s="14"/>
    </row>
    <row r="270" customFormat="false" ht="15" hidden="false" customHeight="false" outlineLevel="0" collapsed="false">
      <c r="A270" s="15"/>
      <c r="B270" s="14"/>
      <c r="C270" s="14"/>
      <c r="D270" s="14"/>
      <c r="E270" s="14"/>
      <c r="F270" s="14"/>
      <c r="G270" s="16"/>
      <c r="H270" s="12" t="str">
        <f aca="false">IF(A270="","",A270+2)</f>
        <v/>
      </c>
      <c r="I270" s="13" t="str">
        <f aca="true">IF(A270="","",IF(AND(OR(F270="New",F270="Replied",F270="Quote sent"),TODAY()&gt;=H270),"Yes",""))</f>
        <v/>
      </c>
      <c r="J270" s="14"/>
    </row>
    <row r="271" customFormat="false" ht="15" hidden="false" customHeight="false" outlineLevel="0" collapsed="false">
      <c r="A271" s="15"/>
      <c r="B271" s="14"/>
      <c r="C271" s="14"/>
      <c r="D271" s="14"/>
      <c r="E271" s="14"/>
      <c r="F271" s="14"/>
      <c r="G271" s="16"/>
      <c r="H271" s="12" t="str">
        <f aca="false">IF(A271="","",A271+2)</f>
        <v/>
      </c>
      <c r="I271" s="13" t="str">
        <f aca="true">IF(A271="","",IF(AND(OR(F271="New",F271="Replied",F271="Quote sent"),TODAY()&gt;=H271),"Yes",""))</f>
        <v/>
      </c>
      <c r="J271" s="14"/>
    </row>
    <row r="272" customFormat="false" ht="15" hidden="false" customHeight="false" outlineLevel="0" collapsed="false">
      <c r="A272" s="15"/>
      <c r="B272" s="14"/>
      <c r="C272" s="14"/>
      <c r="D272" s="14"/>
      <c r="E272" s="14"/>
      <c r="F272" s="14"/>
      <c r="G272" s="16"/>
      <c r="H272" s="12" t="str">
        <f aca="false">IF(A272="","",A272+2)</f>
        <v/>
      </c>
      <c r="I272" s="13" t="str">
        <f aca="true">IF(A272="","",IF(AND(OR(F272="New",F272="Replied",F272="Quote sent"),TODAY()&gt;=H272),"Yes",""))</f>
        <v/>
      </c>
      <c r="J272" s="14"/>
    </row>
    <row r="273" customFormat="false" ht="15" hidden="false" customHeight="false" outlineLevel="0" collapsed="false">
      <c r="A273" s="15"/>
      <c r="B273" s="14"/>
      <c r="C273" s="14"/>
      <c r="D273" s="14"/>
      <c r="E273" s="14"/>
      <c r="F273" s="14"/>
      <c r="G273" s="16"/>
      <c r="H273" s="12" t="str">
        <f aca="false">IF(A273="","",A273+2)</f>
        <v/>
      </c>
      <c r="I273" s="13" t="str">
        <f aca="true">IF(A273="","",IF(AND(OR(F273="New",F273="Replied",F273="Quote sent"),TODAY()&gt;=H273),"Yes",""))</f>
        <v/>
      </c>
      <c r="J273" s="14"/>
    </row>
    <row r="274" customFormat="false" ht="15" hidden="false" customHeight="false" outlineLevel="0" collapsed="false">
      <c r="A274" s="15"/>
      <c r="B274" s="14"/>
      <c r="C274" s="14"/>
      <c r="D274" s="14"/>
      <c r="E274" s="14"/>
      <c r="F274" s="14"/>
      <c r="G274" s="16"/>
      <c r="H274" s="12" t="str">
        <f aca="false">IF(A274="","",A274+2)</f>
        <v/>
      </c>
      <c r="I274" s="13" t="str">
        <f aca="true">IF(A274="","",IF(AND(OR(F274="New",F274="Replied",F274="Quote sent"),TODAY()&gt;=H274),"Yes",""))</f>
        <v/>
      </c>
      <c r="J274" s="14"/>
    </row>
    <row r="275" customFormat="false" ht="15" hidden="false" customHeight="false" outlineLevel="0" collapsed="false">
      <c r="A275" s="15"/>
      <c r="B275" s="14"/>
      <c r="C275" s="14"/>
      <c r="D275" s="14"/>
      <c r="E275" s="14"/>
      <c r="F275" s="14"/>
      <c r="G275" s="16"/>
      <c r="H275" s="12" t="str">
        <f aca="false">IF(A275="","",A275+2)</f>
        <v/>
      </c>
      <c r="I275" s="13" t="str">
        <f aca="true">IF(A275="","",IF(AND(OR(F275="New",F275="Replied",F275="Quote sent"),TODAY()&gt;=H275),"Yes",""))</f>
        <v/>
      </c>
      <c r="J275" s="14"/>
    </row>
    <row r="276" customFormat="false" ht="15" hidden="false" customHeight="false" outlineLevel="0" collapsed="false">
      <c r="A276" s="15"/>
      <c r="B276" s="14"/>
      <c r="C276" s="14"/>
      <c r="D276" s="14"/>
      <c r="E276" s="14"/>
      <c r="F276" s="14"/>
      <c r="G276" s="16"/>
      <c r="H276" s="12" t="str">
        <f aca="false">IF(A276="","",A276+2)</f>
        <v/>
      </c>
      <c r="I276" s="13" t="str">
        <f aca="true">IF(A276="","",IF(AND(OR(F276="New",F276="Replied",F276="Quote sent"),TODAY()&gt;=H276),"Yes",""))</f>
        <v/>
      </c>
      <c r="J276" s="14"/>
    </row>
    <row r="277" customFormat="false" ht="15" hidden="false" customHeight="false" outlineLevel="0" collapsed="false">
      <c r="A277" s="15"/>
      <c r="B277" s="14"/>
      <c r="C277" s="14"/>
      <c r="D277" s="14"/>
      <c r="E277" s="14"/>
      <c r="F277" s="14"/>
      <c r="G277" s="16"/>
      <c r="H277" s="12" t="str">
        <f aca="false">IF(A277="","",A277+2)</f>
        <v/>
      </c>
      <c r="I277" s="13" t="str">
        <f aca="true">IF(A277="","",IF(AND(OR(F277="New",F277="Replied",F277="Quote sent"),TODAY()&gt;=H277),"Yes",""))</f>
        <v/>
      </c>
      <c r="J277" s="14"/>
    </row>
    <row r="278" customFormat="false" ht="15" hidden="false" customHeight="false" outlineLevel="0" collapsed="false">
      <c r="A278" s="15"/>
      <c r="B278" s="14"/>
      <c r="C278" s="14"/>
      <c r="D278" s="14"/>
      <c r="E278" s="14"/>
      <c r="F278" s="14"/>
      <c r="G278" s="16"/>
      <c r="H278" s="12" t="str">
        <f aca="false">IF(A278="","",A278+2)</f>
        <v/>
      </c>
      <c r="I278" s="13" t="str">
        <f aca="true">IF(A278="","",IF(AND(OR(F278="New",F278="Replied",F278="Quote sent"),TODAY()&gt;=H278),"Yes",""))</f>
        <v/>
      </c>
      <c r="J278" s="14"/>
    </row>
    <row r="279" customFormat="false" ht="15" hidden="false" customHeight="false" outlineLevel="0" collapsed="false">
      <c r="A279" s="15"/>
      <c r="B279" s="14"/>
      <c r="C279" s="14"/>
      <c r="D279" s="14"/>
      <c r="E279" s="14"/>
      <c r="F279" s="14"/>
      <c r="G279" s="16"/>
      <c r="H279" s="12" t="str">
        <f aca="false">IF(A279="","",A279+2)</f>
        <v/>
      </c>
      <c r="I279" s="13" t="str">
        <f aca="true">IF(A279="","",IF(AND(OR(F279="New",F279="Replied",F279="Quote sent"),TODAY()&gt;=H279),"Yes",""))</f>
        <v/>
      </c>
      <c r="J279" s="14"/>
    </row>
    <row r="280" customFormat="false" ht="15" hidden="false" customHeight="false" outlineLevel="0" collapsed="false">
      <c r="A280" s="15"/>
      <c r="B280" s="14"/>
      <c r="C280" s="14"/>
      <c r="D280" s="14"/>
      <c r="E280" s="14"/>
      <c r="F280" s="14"/>
      <c r="G280" s="16"/>
      <c r="H280" s="12" t="str">
        <f aca="false">IF(A280="","",A280+2)</f>
        <v/>
      </c>
      <c r="I280" s="13" t="str">
        <f aca="true">IF(A280="","",IF(AND(OR(F280="New",F280="Replied",F280="Quote sent"),TODAY()&gt;=H280),"Yes",""))</f>
        <v/>
      </c>
      <c r="J280" s="14"/>
    </row>
    <row r="281" customFormat="false" ht="15" hidden="false" customHeight="false" outlineLevel="0" collapsed="false">
      <c r="A281" s="15"/>
      <c r="B281" s="14"/>
      <c r="C281" s="14"/>
      <c r="D281" s="14"/>
      <c r="E281" s="14"/>
      <c r="F281" s="14"/>
      <c r="G281" s="16"/>
      <c r="H281" s="12" t="str">
        <f aca="false">IF(A281="","",A281+2)</f>
        <v/>
      </c>
      <c r="I281" s="13" t="str">
        <f aca="true">IF(A281="","",IF(AND(OR(F281="New",F281="Replied",F281="Quote sent"),TODAY()&gt;=H281),"Yes",""))</f>
        <v/>
      </c>
      <c r="J281" s="14"/>
    </row>
    <row r="282" customFormat="false" ht="15" hidden="false" customHeight="false" outlineLevel="0" collapsed="false">
      <c r="A282" s="15"/>
      <c r="B282" s="14"/>
      <c r="C282" s="14"/>
      <c r="D282" s="14"/>
      <c r="E282" s="14"/>
      <c r="F282" s="14"/>
      <c r="G282" s="16"/>
      <c r="H282" s="12" t="str">
        <f aca="false">IF(A282="","",A282+2)</f>
        <v/>
      </c>
      <c r="I282" s="13" t="str">
        <f aca="true">IF(A282="","",IF(AND(OR(F282="New",F282="Replied",F282="Quote sent"),TODAY()&gt;=H282),"Yes",""))</f>
        <v/>
      </c>
      <c r="J282" s="14"/>
    </row>
    <row r="283" customFormat="false" ht="15" hidden="false" customHeight="false" outlineLevel="0" collapsed="false">
      <c r="A283" s="15"/>
      <c r="B283" s="14"/>
      <c r="C283" s="14"/>
      <c r="D283" s="14"/>
      <c r="E283" s="14"/>
      <c r="F283" s="14"/>
      <c r="G283" s="16"/>
      <c r="H283" s="12" t="str">
        <f aca="false">IF(A283="","",A283+2)</f>
        <v/>
      </c>
      <c r="I283" s="13" t="str">
        <f aca="true">IF(A283="","",IF(AND(OR(F283="New",F283="Replied",F283="Quote sent"),TODAY()&gt;=H283),"Yes",""))</f>
        <v/>
      </c>
      <c r="J283" s="14"/>
    </row>
    <row r="284" customFormat="false" ht="15" hidden="false" customHeight="false" outlineLevel="0" collapsed="false">
      <c r="A284" s="15"/>
      <c r="B284" s="14"/>
      <c r="C284" s="14"/>
      <c r="D284" s="14"/>
      <c r="E284" s="14"/>
      <c r="F284" s="14"/>
      <c r="G284" s="16"/>
      <c r="H284" s="12" t="str">
        <f aca="false">IF(A284="","",A284+2)</f>
        <v/>
      </c>
      <c r="I284" s="13" t="str">
        <f aca="true">IF(A284="","",IF(AND(OR(F284="New",F284="Replied",F284="Quote sent"),TODAY()&gt;=H284),"Yes",""))</f>
        <v/>
      </c>
      <c r="J284" s="14"/>
    </row>
    <row r="285" customFormat="false" ht="15" hidden="false" customHeight="false" outlineLevel="0" collapsed="false">
      <c r="A285" s="15"/>
      <c r="B285" s="14"/>
      <c r="C285" s="14"/>
      <c r="D285" s="14"/>
      <c r="E285" s="14"/>
      <c r="F285" s="14"/>
      <c r="G285" s="16"/>
      <c r="H285" s="12" t="str">
        <f aca="false">IF(A285="","",A285+2)</f>
        <v/>
      </c>
      <c r="I285" s="13" t="str">
        <f aca="true">IF(A285="","",IF(AND(OR(F285="New",F285="Replied",F285="Quote sent"),TODAY()&gt;=H285),"Yes",""))</f>
        <v/>
      </c>
      <c r="J285" s="14"/>
    </row>
    <row r="286" customFormat="false" ht="15" hidden="false" customHeight="false" outlineLevel="0" collapsed="false">
      <c r="A286" s="15"/>
      <c r="B286" s="14"/>
      <c r="C286" s="14"/>
      <c r="D286" s="14"/>
      <c r="E286" s="14"/>
      <c r="F286" s="14"/>
      <c r="G286" s="16"/>
      <c r="H286" s="12" t="str">
        <f aca="false">IF(A286="","",A286+2)</f>
        <v/>
      </c>
      <c r="I286" s="13" t="str">
        <f aca="true">IF(A286="","",IF(AND(OR(F286="New",F286="Replied",F286="Quote sent"),TODAY()&gt;=H286),"Yes",""))</f>
        <v/>
      </c>
      <c r="J286" s="14"/>
    </row>
    <row r="287" customFormat="false" ht="15" hidden="false" customHeight="false" outlineLevel="0" collapsed="false">
      <c r="A287" s="15"/>
      <c r="B287" s="14"/>
      <c r="C287" s="14"/>
      <c r="D287" s="14"/>
      <c r="E287" s="14"/>
      <c r="F287" s="14"/>
      <c r="G287" s="16"/>
      <c r="H287" s="12" t="str">
        <f aca="false">IF(A287="","",A287+2)</f>
        <v/>
      </c>
      <c r="I287" s="13" t="str">
        <f aca="true">IF(A287="","",IF(AND(OR(F287="New",F287="Replied",F287="Quote sent"),TODAY()&gt;=H287),"Yes",""))</f>
        <v/>
      </c>
      <c r="J287" s="14"/>
    </row>
    <row r="288" customFormat="false" ht="15" hidden="false" customHeight="false" outlineLevel="0" collapsed="false">
      <c r="A288" s="15"/>
      <c r="B288" s="14"/>
      <c r="C288" s="14"/>
      <c r="D288" s="14"/>
      <c r="E288" s="14"/>
      <c r="F288" s="14"/>
      <c r="G288" s="16"/>
      <c r="H288" s="12" t="str">
        <f aca="false">IF(A288="","",A288+2)</f>
        <v/>
      </c>
      <c r="I288" s="13" t="str">
        <f aca="true">IF(A288="","",IF(AND(OR(F288="New",F288="Replied",F288="Quote sent"),TODAY()&gt;=H288),"Yes",""))</f>
        <v/>
      </c>
      <c r="J288" s="14"/>
    </row>
    <row r="289" customFormat="false" ht="15" hidden="false" customHeight="false" outlineLevel="0" collapsed="false">
      <c r="A289" s="15"/>
      <c r="B289" s="14"/>
      <c r="C289" s="14"/>
      <c r="D289" s="14"/>
      <c r="E289" s="14"/>
      <c r="F289" s="14"/>
      <c r="G289" s="16"/>
      <c r="H289" s="12" t="str">
        <f aca="false">IF(A289="","",A289+2)</f>
        <v/>
      </c>
      <c r="I289" s="13" t="str">
        <f aca="true">IF(A289="","",IF(AND(OR(F289="New",F289="Replied",F289="Quote sent"),TODAY()&gt;=H289),"Yes",""))</f>
        <v/>
      </c>
      <c r="J289" s="14"/>
    </row>
    <row r="290" customFormat="false" ht="15" hidden="false" customHeight="false" outlineLevel="0" collapsed="false">
      <c r="A290" s="15"/>
      <c r="B290" s="14"/>
      <c r="C290" s="14"/>
      <c r="D290" s="14"/>
      <c r="E290" s="14"/>
      <c r="F290" s="14"/>
      <c r="G290" s="16"/>
      <c r="H290" s="12" t="str">
        <f aca="false">IF(A290="","",A290+2)</f>
        <v/>
      </c>
      <c r="I290" s="13" t="str">
        <f aca="true">IF(A290="","",IF(AND(OR(F290="New",F290="Replied",F290="Quote sent"),TODAY()&gt;=H290),"Yes",""))</f>
        <v/>
      </c>
      <c r="J290" s="14"/>
    </row>
    <row r="291" customFormat="false" ht="15" hidden="false" customHeight="false" outlineLevel="0" collapsed="false">
      <c r="A291" s="15"/>
      <c r="B291" s="14"/>
      <c r="C291" s="14"/>
      <c r="D291" s="14"/>
      <c r="E291" s="14"/>
      <c r="F291" s="14"/>
      <c r="G291" s="16"/>
      <c r="H291" s="12" t="str">
        <f aca="false">IF(A291="","",A291+2)</f>
        <v/>
      </c>
      <c r="I291" s="13" t="str">
        <f aca="true">IF(A291="","",IF(AND(OR(F291="New",F291="Replied",F291="Quote sent"),TODAY()&gt;=H291),"Yes",""))</f>
        <v/>
      </c>
      <c r="J291" s="14"/>
    </row>
    <row r="292" customFormat="false" ht="15" hidden="false" customHeight="false" outlineLevel="0" collapsed="false">
      <c r="A292" s="15"/>
      <c r="B292" s="14"/>
      <c r="C292" s="14"/>
      <c r="D292" s="14"/>
      <c r="E292" s="14"/>
      <c r="F292" s="14"/>
      <c r="G292" s="16"/>
      <c r="H292" s="12" t="str">
        <f aca="false">IF(A292="","",A292+2)</f>
        <v/>
      </c>
      <c r="I292" s="13" t="str">
        <f aca="true">IF(A292="","",IF(AND(OR(F292="New",F292="Replied",F292="Quote sent"),TODAY()&gt;=H292),"Yes",""))</f>
        <v/>
      </c>
      <c r="J292" s="14"/>
    </row>
    <row r="293" customFormat="false" ht="15" hidden="false" customHeight="false" outlineLevel="0" collapsed="false">
      <c r="A293" s="15"/>
      <c r="B293" s="14"/>
      <c r="C293" s="14"/>
      <c r="D293" s="14"/>
      <c r="E293" s="14"/>
      <c r="F293" s="14"/>
      <c r="G293" s="16"/>
      <c r="H293" s="12" t="str">
        <f aca="false">IF(A293="","",A293+2)</f>
        <v/>
      </c>
      <c r="I293" s="13" t="str">
        <f aca="true">IF(A293="","",IF(AND(OR(F293="New",F293="Replied",F293="Quote sent"),TODAY()&gt;=H293),"Yes",""))</f>
        <v/>
      </c>
      <c r="J293" s="14"/>
    </row>
    <row r="294" customFormat="false" ht="15" hidden="false" customHeight="false" outlineLevel="0" collapsed="false">
      <c r="A294" s="15"/>
      <c r="B294" s="14"/>
      <c r="C294" s="14"/>
      <c r="D294" s="14"/>
      <c r="E294" s="14"/>
      <c r="F294" s="14"/>
      <c r="G294" s="16"/>
      <c r="H294" s="12" t="str">
        <f aca="false">IF(A294="","",A294+2)</f>
        <v/>
      </c>
      <c r="I294" s="13" t="str">
        <f aca="true">IF(A294="","",IF(AND(OR(F294="New",F294="Replied",F294="Quote sent"),TODAY()&gt;=H294),"Yes",""))</f>
        <v/>
      </c>
      <c r="J294" s="14"/>
    </row>
    <row r="295" customFormat="false" ht="15" hidden="false" customHeight="false" outlineLevel="0" collapsed="false">
      <c r="A295" s="15"/>
      <c r="B295" s="14"/>
      <c r="C295" s="14"/>
      <c r="D295" s="14"/>
      <c r="E295" s="14"/>
      <c r="F295" s="14"/>
      <c r="G295" s="16"/>
      <c r="H295" s="12" t="str">
        <f aca="false">IF(A295="","",A295+2)</f>
        <v/>
      </c>
      <c r="I295" s="13" t="str">
        <f aca="true">IF(A295="","",IF(AND(OR(F295="New",F295="Replied",F295="Quote sent"),TODAY()&gt;=H295),"Yes",""))</f>
        <v/>
      </c>
      <c r="J295" s="14"/>
    </row>
    <row r="296" customFormat="false" ht="15" hidden="false" customHeight="false" outlineLevel="0" collapsed="false">
      <c r="A296" s="15"/>
      <c r="B296" s="14"/>
      <c r="C296" s="14"/>
      <c r="D296" s="14"/>
      <c r="E296" s="14"/>
      <c r="F296" s="14"/>
      <c r="G296" s="16"/>
      <c r="H296" s="12" t="str">
        <f aca="false">IF(A296="","",A296+2)</f>
        <v/>
      </c>
      <c r="I296" s="13" t="str">
        <f aca="true">IF(A296="","",IF(AND(OR(F296="New",F296="Replied",F296="Quote sent"),TODAY()&gt;=H296),"Yes",""))</f>
        <v/>
      </c>
      <c r="J296" s="14"/>
    </row>
    <row r="297" customFormat="false" ht="15" hidden="false" customHeight="false" outlineLevel="0" collapsed="false">
      <c r="A297" s="15"/>
      <c r="B297" s="14"/>
      <c r="C297" s="14"/>
      <c r="D297" s="14"/>
      <c r="E297" s="14"/>
      <c r="F297" s="14"/>
      <c r="G297" s="16"/>
      <c r="H297" s="12" t="str">
        <f aca="false">IF(A297="","",A297+2)</f>
        <v/>
      </c>
      <c r="I297" s="13" t="str">
        <f aca="true">IF(A297="","",IF(AND(OR(F297="New",F297="Replied",F297="Quote sent"),TODAY()&gt;=H297),"Yes",""))</f>
        <v/>
      </c>
      <c r="J297" s="14"/>
    </row>
    <row r="298" customFormat="false" ht="15" hidden="false" customHeight="false" outlineLevel="0" collapsed="false">
      <c r="A298" s="15"/>
      <c r="B298" s="14"/>
      <c r="C298" s="14"/>
      <c r="D298" s="14"/>
      <c r="E298" s="14"/>
      <c r="F298" s="14"/>
      <c r="G298" s="16"/>
      <c r="H298" s="12" t="str">
        <f aca="false">IF(A298="","",A298+2)</f>
        <v/>
      </c>
      <c r="I298" s="13" t="str">
        <f aca="true">IF(A298="","",IF(AND(OR(F298="New",F298="Replied",F298="Quote sent"),TODAY()&gt;=H298),"Yes",""))</f>
        <v/>
      </c>
      <c r="J298" s="14"/>
    </row>
    <row r="299" customFormat="false" ht="15" hidden="false" customHeight="false" outlineLevel="0" collapsed="false">
      <c r="A299" s="15"/>
      <c r="B299" s="14"/>
      <c r="C299" s="14"/>
      <c r="D299" s="14"/>
      <c r="E299" s="14"/>
      <c r="F299" s="14"/>
      <c r="G299" s="16"/>
      <c r="H299" s="12" t="str">
        <f aca="false">IF(A299="","",A299+2)</f>
        <v/>
      </c>
      <c r="I299" s="13" t="str">
        <f aca="true">IF(A299="","",IF(AND(OR(F299="New",F299="Replied",F299="Quote sent"),TODAY()&gt;=H299),"Yes",""))</f>
        <v/>
      </c>
      <c r="J299" s="14"/>
    </row>
    <row r="300" customFormat="false" ht="15" hidden="false" customHeight="false" outlineLevel="0" collapsed="false">
      <c r="A300" s="15"/>
      <c r="B300" s="14"/>
      <c r="C300" s="14"/>
      <c r="D300" s="14"/>
      <c r="E300" s="14"/>
      <c r="F300" s="14"/>
      <c r="G300" s="16"/>
      <c r="H300" s="12" t="str">
        <f aca="false">IF(A300="","",A300+2)</f>
        <v/>
      </c>
      <c r="I300" s="13" t="str">
        <f aca="true">IF(A300="","",IF(AND(OR(F300="New",F300="Replied",F300="Quote sent"),TODAY()&gt;=H300),"Yes",""))</f>
        <v/>
      </c>
      <c r="J300" s="14"/>
    </row>
    <row r="301" customFormat="false" ht="15" hidden="false" customHeight="false" outlineLevel="0" collapsed="false">
      <c r="A301" s="15"/>
      <c r="B301" s="14"/>
      <c r="C301" s="14"/>
      <c r="D301" s="14"/>
      <c r="E301" s="14"/>
      <c r="F301" s="14"/>
      <c r="G301" s="16"/>
      <c r="H301" s="12" t="str">
        <f aca="false">IF(A301="","",A301+2)</f>
        <v/>
      </c>
      <c r="I301" s="13" t="str">
        <f aca="true">IF(A301="","",IF(AND(OR(F301="New",F301="Replied",F301="Quote sent"),TODAY()&gt;=H301),"Yes",""))</f>
        <v/>
      </c>
      <c r="J301" s="14"/>
    </row>
    <row r="302" customFormat="false" ht="15" hidden="false" customHeight="false" outlineLevel="0" collapsed="false">
      <c r="A302" s="15"/>
      <c r="B302" s="14"/>
      <c r="C302" s="14"/>
      <c r="D302" s="14"/>
      <c r="E302" s="14"/>
      <c r="F302" s="14"/>
      <c r="G302" s="16"/>
      <c r="H302" s="12" t="str">
        <f aca="false">IF(A302="","",A302+2)</f>
        <v/>
      </c>
      <c r="I302" s="13" t="str">
        <f aca="true">IF(A302="","",IF(AND(OR(F302="New",F302="Replied",F302="Quote sent"),TODAY()&gt;=H302),"Yes",""))</f>
        <v/>
      </c>
      <c r="J302" s="14"/>
    </row>
    <row r="303" customFormat="false" ht="15" hidden="false" customHeight="false" outlineLevel="0" collapsed="false">
      <c r="A303" s="15"/>
      <c r="B303" s="14"/>
      <c r="C303" s="14"/>
      <c r="D303" s="14"/>
      <c r="E303" s="14"/>
      <c r="F303" s="14"/>
      <c r="G303" s="16"/>
      <c r="H303" s="12" t="str">
        <f aca="false">IF(A303="","",A303+2)</f>
        <v/>
      </c>
      <c r="I303" s="13" t="str">
        <f aca="true">IF(A303="","",IF(AND(OR(F303="New",F303="Replied",F303="Quote sent"),TODAY()&gt;=H303),"Yes",""))</f>
        <v/>
      </c>
      <c r="J303" s="14"/>
    </row>
    <row r="304" customFormat="false" ht="15" hidden="false" customHeight="false" outlineLevel="0" collapsed="false">
      <c r="A304" s="15"/>
      <c r="B304" s="14"/>
      <c r="C304" s="14"/>
      <c r="D304" s="14"/>
      <c r="E304" s="14"/>
      <c r="F304" s="14"/>
      <c r="G304" s="16"/>
      <c r="H304" s="12" t="str">
        <f aca="false">IF(A304="","",A304+2)</f>
        <v/>
      </c>
      <c r="I304" s="13" t="str">
        <f aca="true">IF(A304="","",IF(AND(OR(F304="New",F304="Replied",F304="Quote sent"),TODAY()&gt;=H304),"Yes",""))</f>
        <v/>
      </c>
      <c r="J304" s="14"/>
    </row>
    <row r="305" customFormat="false" ht="15" hidden="false" customHeight="false" outlineLevel="0" collapsed="false">
      <c r="A305" s="15"/>
      <c r="B305" s="14"/>
      <c r="C305" s="14"/>
      <c r="D305" s="14"/>
      <c r="E305" s="14"/>
      <c r="F305" s="14"/>
      <c r="G305" s="16"/>
      <c r="H305" s="12" t="str">
        <f aca="false">IF(A305="","",A305+2)</f>
        <v/>
      </c>
      <c r="I305" s="13" t="str">
        <f aca="true">IF(A305="","",IF(AND(OR(F305="New",F305="Replied",F305="Quote sent"),TODAY()&gt;=H305),"Yes",""))</f>
        <v/>
      </c>
      <c r="J305" s="14"/>
    </row>
    <row r="306" customFormat="false" ht="15" hidden="false" customHeight="false" outlineLevel="0" collapsed="false">
      <c r="A306" s="15"/>
      <c r="B306" s="14"/>
      <c r="C306" s="14"/>
      <c r="D306" s="14"/>
      <c r="E306" s="14"/>
      <c r="F306" s="14"/>
      <c r="G306" s="16"/>
      <c r="H306" s="12" t="str">
        <f aca="false">IF(A306="","",A306+2)</f>
        <v/>
      </c>
      <c r="I306" s="13" t="str">
        <f aca="true">IF(A306="","",IF(AND(OR(F306="New",F306="Replied",F306="Quote sent"),TODAY()&gt;=H306),"Yes",""))</f>
        <v/>
      </c>
      <c r="J306" s="14"/>
    </row>
    <row r="307" customFormat="false" ht="15" hidden="false" customHeight="false" outlineLevel="0" collapsed="false">
      <c r="A307" s="15"/>
      <c r="B307" s="14"/>
      <c r="C307" s="14"/>
      <c r="D307" s="14"/>
      <c r="E307" s="14"/>
      <c r="F307" s="14"/>
      <c r="G307" s="16"/>
      <c r="H307" s="12" t="str">
        <f aca="false">IF(A307="","",A307+2)</f>
        <v/>
      </c>
      <c r="I307" s="13" t="str">
        <f aca="true">IF(A307="","",IF(AND(OR(F307="New",F307="Replied",F307="Quote sent"),TODAY()&gt;=H307),"Yes",""))</f>
        <v/>
      </c>
      <c r="J307" s="14"/>
    </row>
    <row r="308" customFormat="false" ht="15" hidden="false" customHeight="false" outlineLevel="0" collapsed="false">
      <c r="A308" s="15"/>
      <c r="B308" s="14"/>
      <c r="C308" s="14"/>
      <c r="D308" s="14"/>
      <c r="E308" s="14"/>
      <c r="F308" s="14"/>
      <c r="G308" s="16"/>
      <c r="H308" s="12" t="str">
        <f aca="false">IF(A308="","",A308+2)</f>
        <v/>
      </c>
      <c r="I308" s="13" t="str">
        <f aca="true">IF(A308="","",IF(AND(OR(F308="New",F308="Replied",F308="Quote sent"),TODAY()&gt;=H308),"Yes",""))</f>
        <v/>
      </c>
      <c r="J308" s="14"/>
    </row>
    <row r="309" customFormat="false" ht="15" hidden="false" customHeight="false" outlineLevel="0" collapsed="false">
      <c r="A309" s="15"/>
      <c r="B309" s="14"/>
      <c r="C309" s="14"/>
      <c r="D309" s="14"/>
      <c r="E309" s="14"/>
      <c r="F309" s="14"/>
      <c r="G309" s="16"/>
      <c r="H309" s="12" t="str">
        <f aca="false">IF(A309="","",A309+2)</f>
        <v/>
      </c>
      <c r="I309" s="13" t="str">
        <f aca="true">IF(A309="","",IF(AND(OR(F309="New",F309="Replied",F309="Quote sent"),TODAY()&gt;=H309),"Yes",""))</f>
        <v/>
      </c>
      <c r="J309" s="14"/>
    </row>
    <row r="310" customFormat="false" ht="15" hidden="false" customHeight="false" outlineLevel="0" collapsed="false">
      <c r="A310" s="15"/>
      <c r="B310" s="14"/>
      <c r="C310" s="14"/>
      <c r="D310" s="14"/>
      <c r="E310" s="14"/>
      <c r="F310" s="14"/>
      <c r="G310" s="16"/>
      <c r="H310" s="12" t="str">
        <f aca="false">IF(A310="","",A310+2)</f>
        <v/>
      </c>
      <c r="I310" s="13" t="str">
        <f aca="true">IF(A310="","",IF(AND(OR(F310="New",F310="Replied",F310="Quote sent"),TODAY()&gt;=H310),"Yes",""))</f>
        <v/>
      </c>
      <c r="J310" s="14"/>
    </row>
    <row r="311" customFormat="false" ht="15" hidden="false" customHeight="false" outlineLevel="0" collapsed="false">
      <c r="A311" s="15"/>
      <c r="B311" s="14"/>
      <c r="C311" s="14"/>
      <c r="D311" s="14"/>
      <c r="E311" s="14"/>
      <c r="F311" s="14"/>
      <c r="G311" s="16"/>
      <c r="H311" s="12" t="str">
        <f aca="false">IF(A311="","",A311+2)</f>
        <v/>
      </c>
      <c r="I311" s="13" t="str">
        <f aca="true">IF(A311="","",IF(AND(OR(F311="New",F311="Replied",F311="Quote sent"),TODAY()&gt;=H311),"Yes",""))</f>
        <v/>
      </c>
      <c r="J311" s="14"/>
    </row>
    <row r="312" customFormat="false" ht="15" hidden="false" customHeight="false" outlineLevel="0" collapsed="false">
      <c r="A312" s="15"/>
      <c r="B312" s="14"/>
      <c r="C312" s="14"/>
      <c r="D312" s="14"/>
      <c r="E312" s="14"/>
      <c r="F312" s="14"/>
      <c r="G312" s="16"/>
      <c r="H312" s="12" t="str">
        <f aca="false">IF(A312="","",A312+2)</f>
        <v/>
      </c>
      <c r="I312" s="13" t="str">
        <f aca="true">IF(A312="","",IF(AND(OR(F312="New",F312="Replied",F312="Quote sent"),TODAY()&gt;=H312),"Yes",""))</f>
        <v/>
      </c>
      <c r="J312" s="14"/>
    </row>
    <row r="313" customFormat="false" ht="15" hidden="false" customHeight="false" outlineLevel="0" collapsed="false">
      <c r="A313" s="15"/>
      <c r="B313" s="14"/>
      <c r="C313" s="14"/>
      <c r="D313" s="14"/>
      <c r="E313" s="14"/>
      <c r="F313" s="14"/>
      <c r="G313" s="16"/>
      <c r="H313" s="12" t="str">
        <f aca="false">IF(A313="","",A313+2)</f>
        <v/>
      </c>
      <c r="I313" s="13" t="str">
        <f aca="true">IF(A313="","",IF(AND(OR(F313="New",F313="Replied",F313="Quote sent"),TODAY()&gt;=H313),"Yes",""))</f>
        <v/>
      </c>
      <c r="J313" s="14"/>
    </row>
    <row r="314" customFormat="false" ht="15" hidden="false" customHeight="false" outlineLevel="0" collapsed="false">
      <c r="A314" s="15"/>
      <c r="B314" s="14"/>
      <c r="C314" s="14"/>
      <c r="D314" s="14"/>
      <c r="E314" s="14"/>
      <c r="F314" s="14"/>
      <c r="G314" s="16"/>
      <c r="H314" s="12" t="str">
        <f aca="false">IF(A314="","",A314+2)</f>
        <v/>
      </c>
      <c r="I314" s="13" t="str">
        <f aca="true">IF(A314="","",IF(AND(OR(F314="New",F314="Replied",F314="Quote sent"),TODAY()&gt;=H314),"Yes",""))</f>
        <v/>
      </c>
      <c r="J314" s="14"/>
    </row>
    <row r="315" customFormat="false" ht="15" hidden="false" customHeight="false" outlineLevel="0" collapsed="false">
      <c r="A315" s="15"/>
      <c r="B315" s="14"/>
      <c r="C315" s="14"/>
      <c r="D315" s="14"/>
      <c r="E315" s="14"/>
      <c r="F315" s="14"/>
      <c r="G315" s="16"/>
      <c r="H315" s="12" t="str">
        <f aca="false">IF(A315="","",A315+2)</f>
        <v/>
      </c>
      <c r="I315" s="13" t="str">
        <f aca="true">IF(A315="","",IF(AND(OR(F315="New",F315="Replied",F315="Quote sent"),TODAY()&gt;=H315),"Yes",""))</f>
        <v/>
      </c>
      <c r="J315" s="14"/>
    </row>
    <row r="316" customFormat="false" ht="15" hidden="false" customHeight="false" outlineLevel="0" collapsed="false">
      <c r="A316" s="15"/>
      <c r="B316" s="14"/>
      <c r="C316" s="14"/>
      <c r="D316" s="14"/>
      <c r="E316" s="14"/>
      <c r="F316" s="14"/>
      <c r="G316" s="16"/>
      <c r="H316" s="12" t="str">
        <f aca="false">IF(A316="","",A316+2)</f>
        <v/>
      </c>
      <c r="I316" s="13" t="str">
        <f aca="true">IF(A316="","",IF(AND(OR(F316="New",F316="Replied",F316="Quote sent"),TODAY()&gt;=H316),"Yes",""))</f>
        <v/>
      </c>
      <c r="J316" s="14"/>
    </row>
    <row r="317" customFormat="false" ht="15" hidden="false" customHeight="false" outlineLevel="0" collapsed="false">
      <c r="A317" s="15"/>
      <c r="B317" s="14"/>
      <c r="C317" s="14"/>
      <c r="D317" s="14"/>
      <c r="E317" s="14"/>
      <c r="F317" s="14"/>
      <c r="G317" s="16"/>
      <c r="H317" s="12" t="str">
        <f aca="false">IF(A317="","",A317+2)</f>
        <v/>
      </c>
      <c r="I317" s="13" t="str">
        <f aca="true">IF(A317="","",IF(AND(OR(F317="New",F317="Replied",F317="Quote sent"),TODAY()&gt;=H317),"Yes",""))</f>
        <v/>
      </c>
      <c r="J317" s="14"/>
    </row>
    <row r="318" customFormat="false" ht="15" hidden="false" customHeight="false" outlineLevel="0" collapsed="false">
      <c r="A318" s="15"/>
      <c r="B318" s="14"/>
      <c r="C318" s="14"/>
      <c r="D318" s="14"/>
      <c r="E318" s="14"/>
      <c r="F318" s="14"/>
      <c r="G318" s="16"/>
      <c r="H318" s="12" t="str">
        <f aca="false">IF(A318="","",A318+2)</f>
        <v/>
      </c>
      <c r="I318" s="13" t="str">
        <f aca="true">IF(A318="","",IF(AND(OR(F318="New",F318="Replied",F318="Quote sent"),TODAY()&gt;=H318),"Yes",""))</f>
        <v/>
      </c>
      <c r="J318" s="14"/>
    </row>
    <row r="319" customFormat="false" ht="15" hidden="false" customHeight="false" outlineLevel="0" collapsed="false">
      <c r="A319" s="15"/>
      <c r="B319" s="14"/>
      <c r="C319" s="14"/>
      <c r="D319" s="14"/>
      <c r="E319" s="14"/>
      <c r="F319" s="14"/>
      <c r="G319" s="16"/>
      <c r="H319" s="12" t="str">
        <f aca="false">IF(A319="","",A319+2)</f>
        <v/>
      </c>
      <c r="I319" s="13" t="str">
        <f aca="true">IF(A319="","",IF(AND(OR(F319="New",F319="Replied",F319="Quote sent"),TODAY()&gt;=H319),"Yes",""))</f>
        <v/>
      </c>
      <c r="J319" s="14"/>
    </row>
    <row r="320" customFormat="false" ht="15" hidden="false" customHeight="false" outlineLevel="0" collapsed="false">
      <c r="A320" s="15"/>
      <c r="B320" s="14"/>
      <c r="C320" s="14"/>
      <c r="D320" s="14"/>
      <c r="E320" s="14"/>
      <c r="F320" s="14"/>
      <c r="G320" s="16"/>
      <c r="H320" s="12" t="str">
        <f aca="false">IF(A320="","",A320+2)</f>
        <v/>
      </c>
      <c r="I320" s="13" t="str">
        <f aca="true">IF(A320="","",IF(AND(OR(F320="New",F320="Replied",F320="Quote sent"),TODAY()&gt;=H320),"Yes",""))</f>
        <v/>
      </c>
      <c r="J320" s="14"/>
    </row>
    <row r="321" customFormat="false" ht="15" hidden="false" customHeight="false" outlineLevel="0" collapsed="false">
      <c r="A321" s="15"/>
      <c r="B321" s="14"/>
      <c r="C321" s="14"/>
      <c r="D321" s="14"/>
      <c r="E321" s="14"/>
      <c r="F321" s="14"/>
      <c r="G321" s="16"/>
      <c r="H321" s="12" t="str">
        <f aca="false">IF(A321="","",A321+2)</f>
        <v/>
      </c>
      <c r="I321" s="13" t="str">
        <f aca="true">IF(A321="","",IF(AND(OR(F321="New",F321="Replied",F321="Quote sent"),TODAY()&gt;=H321),"Yes",""))</f>
        <v/>
      </c>
      <c r="J321" s="14"/>
    </row>
    <row r="322" customFormat="false" ht="15" hidden="false" customHeight="false" outlineLevel="0" collapsed="false">
      <c r="A322" s="15"/>
      <c r="B322" s="14"/>
      <c r="C322" s="14"/>
      <c r="D322" s="14"/>
      <c r="E322" s="14"/>
      <c r="F322" s="14"/>
      <c r="G322" s="16"/>
      <c r="H322" s="12" t="str">
        <f aca="false">IF(A322="","",A322+2)</f>
        <v/>
      </c>
      <c r="I322" s="13" t="str">
        <f aca="true">IF(A322="","",IF(AND(OR(F322="New",F322="Replied",F322="Quote sent"),TODAY()&gt;=H322),"Yes",""))</f>
        <v/>
      </c>
      <c r="J322" s="14"/>
    </row>
    <row r="323" customFormat="false" ht="15" hidden="false" customHeight="false" outlineLevel="0" collapsed="false">
      <c r="A323" s="15"/>
      <c r="B323" s="14"/>
      <c r="C323" s="14"/>
      <c r="D323" s="14"/>
      <c r="E323" s="14"/>
      <c r="F323" s="14"/>
      <c r="G323" s="16"/>
      <c r="H323" s="12" t="str">
        <f aca="false">IF(A323="","",A323+2)</f>
        <v/>
      </c>
      <c r="I323" s="13" t="str">
        <f aca="true">IF(A323="","",IF(AND(OR(F323="New",F323="Replied",F323="Quote sent"),TODAY()&gt;=H323),"Yes",""))</f>
        <v/>
      </c>
      <c r="J323" s="14"/>
    </row>
    <row r="324" customFormat="false" ht="15" hidden="false" customHeight="false" outlineLevel="0" collapsed="false">
      <c r="A324" s="15"/>
      <c r="B324" s="14"/>
      <c r="C324" s="14"/>
      <c r="D324" s="14"/>
      <c r="E324" s="14"/>
      <c r="F324" s="14"/>
      <c r="G324" s="16"/>
      <c r="H324" s="12" t="str">
        <f aca="false">IF(A324="","",A324+2)</f>
        <v/>
      </c>
      <c r="I324" s="13" t="str">
        <f aca="true">IF(A324="","",IF(AND(OR(F324="New",F324="Replied",F324="Quote sent"),TODAY()&gt;=H324),"Yes",""))</f>
        <v/>
      </c>
      <c r="J324" s="14"/>
    </row>
    <row r="325" customFormat="false" ht="15" hidden="false" customHeight="false" outlineLevel="0" collapsed="false">
      <c r="A325" s="15"/>
      <c r="B325" s="14"/>
      <c r="C325" s="14"/>
      <c r="D325" s="14"/>
      <c r="E325" s="14"/>
      <c r="F325" s="14"/>
      <c r="G325" s="16"/>
      <c r="H325" s="12" t="str">
        <f aca="false">IF(A325="","",A325+2)</f>
        <v/>
      </c>
      <c r="I325" s="13" t="str">
        <f aca="true">IF(A325="","",IF(AND(OR(F325="New",F325="Replied",F325="Quote sent"),TODAY()&gt;=H325),"Yes",""))</f>
        <v/>
      </c>
      <c r="J325" s="14"/>
    </row>
    <row r="326" customFormat="false" ht="15" hidden="false" customHeight="false" outlineLevel="0" collapsed="false">
      <c r="A326" s="15"/>
      <c r="B326" s="14"/>
      <c r="C326" s="14"/>
      <c r="D326" s="14"/>
      <c r="E326" s="14"/>
      <c r="F326" s="14"/>
      <c r="G326" s="16"/>
      <c r="H326" s="12" t="str">
        <f aca="false">IF(A326="","",A326+2)</f>
        <v/>
      </c>
      <c r="I326" s="13" t="str">
        <f aca="true">IF(A326="","",IF(AND(OR(F326="New",F326="Replied",F326="Quote sent"),TODAY()&gt;=H326),"Yes",""))</f>
        <v/>
      </c>
      <c r="J326" s="14"/>
    </row>
    <row r="327" customFormat="false" ht="15" hidden="false" customHeight="false" outlineLevel="0" collapsed="false">
      <c r="A327" s="15"/>
      <c r="B327" s="14"/>
      <c r="C327" s="14"/>
      <c r="D327" s="14"/>
      <c r="E327" s="14"/>
      <c r="F327" s="14"/>
      <c r="G327" s="16"/>
      <c r="H327" s="12" t="str">
        <f aca="false">IF(A327="","",A327+2)</f>
        <v/>
      </c>
      <c r="I327" s="13" t="str">
        <f aca="true">IF(A327="","",IF(AND(OR(F327="New",F327="Replied",F327="Quote sent"),TODAY()&gt;=H327),"Yes",""))</f>
        <v/>
      </c>
      <c r="J327" s="14"/>
    </row>
    <row r="328" customFormat="false" ht="15" hidden="false" customHeight="false" outlineLevel="0" collapsed="false">
      <c r="A328" s="15"/>
      <c r="B328" s="14"/>
      <c r="C328" s="14"/>
      <c r="D328" s="14"/>
      <c r="E328" s="14"/>
      <c r="F328" s="14"/>
      <c r="G328" s="16"/>
      <c r="H328" s="12" t="str">
        <f aca="false">IF(A328="","",A328+2)</f>
        <v/>
      </c>
      <c r="I328" s="13" t="str">
        <f aca="true">IF(A328="","",IF(AND(OR(F328="New",F328="Replied",F328="Quote sent"),TODAY()&gt;=H328),"Yes",""))</f>
        <v/>
      </c>
      <c r="J328" s="14"/>
    </row>
    <row r="329" customFormat="false" ht="15" hidden="false" customHeight="false" outlineLevel="0" collapsed="false">
      <c r="A329" s="15"/>
      <c r="B329" s="14"/>
      <c r="C329" s="14"/>
      <c r="D329" s="14"/>
      <c r="E329" s="14"/>
      <c r="F329" s="14"/>
      <c r="G329" s="16"/>
      <c r="H329" s="12" t="str">
        <f aca="false">IF(A329="","",A329+2)</f>
        <v/>
      </c>
      <c r="I329" s="13" t="str">
        <f aca="true">IF(A329="","",IF(AND(OR(F329="New",F329="Replied",F329="Quote sent"),TODAY()&gt;=H329),"Yes",""))</f>
        <v/>
      </c>
      <c r="J329" s="14"/>
    </row>
    <row r="330" customFormat="false" ht="15" hidden="false" customHeight="false" outlineLevel="0" collapsed="false">
      <c r="A330" s="15"/>
      <c r="B330" s="14"/>
      <c r="C330" s="14"/>
      <c r="D330" s="14"/>
      <c r="E330" s="14"/>
      <c r="F330" s="14"/>
      <c r="G330" s="16"/>
      <c r="H330" s="12" t="str">
        <f aca="false">IF(A330="","",A330+2)</f>
        <v/>
      </c>
      <c r="I330" s="13" t="str">
        <f aca="true">IF(A330="","",IF(AND(OR(F330="New",F330="Replied",F330="Quote sent"),TODAY()&gt;=H330),"Yes",""))</f>
        <v/>
      </c>
      <c r="J330" s="14"/>
    </row>
    <row r="331" customFormat="false" ht="15" hidden="false" customHeight="false" outlineLevel="0" collapsed="false">
      <c r="A331" s="15"/>
      <c r="B331" s="14"/>
      <c r="C331" s="14"/>
      <c r="D331" s="14"/>
      <c r="E331" s="14"/>
      <c r="F331" s="14"/>
      <c r="G331" s="16"/>
      <c r="H331" s="12" t="str">
        <f aca="false">IF(A331="","",A331+2)</f>
        <v/>
      </c>
      <c r="I331" s="13" t="str">
        <f aca="true">IF(A331="","",IF(AND(OR(F331="New",F331="Replied",F331="Quote sent"),TODAY()&gt;=H331),"Yes",""))</f>
        <v/>
      </c>
      <c r="J331" s="14"/>
    </row>
    <row r="332" customFormat="false" ht="15" hidden="false" customHeight="false" outlineLevel="0" collapsed="false">
      <c r="A332" s="15"/>
      <c r="B332" s="14"/>
      <c r="C332" s="14"/>
      <c r="D332" s="14"/>
      <c r="E332" s="14"/>
      <c r="F332" s="14"/>
      <c r="G332" s="16"/>
      <c r="H332" s="12" t="str">
        <f aca="false">IF(A332="","",A332+2)</f>
        <v/>
      </c>
      <c r="I332" s="13" t="str">
        <f aca="true">IF(A332="","",IF(AND(OR(F332="New",F332="Replied",F332="Quote sent"),TODAY()&gt;=H332),"Yes",""))</f>
        <v/>
      </c>
      <c r="J332" s="14"/>
    </row>
    <row r="333" customFormat="false" ht="15" hidden="false" customHeight="false" outlineLevel="0" collapsed="false">
      <c r="A333" s="15"/>
      <c r="B333" s="14"/>
      <c r="C333" s="14"/>
      <c r="D333" s="14"/>
      <c r="E333" s="14"/>
      <c r="F333" s="14"/>
      <c r="G333" s="16"/>
      <c r="H333" s="12" t="str">
        <f aca="false">IF(A333="","",A333+2)</f>
        <v/>
      </c>
      <c r="I333" s="13" t="str">
        <f aca="true">IF(A333="","",IF(AND(OR(F333="New",F333="Replied",F333="Quote sent"),TODAY()&gt;=H333),"Yes",""))</f>
        <v/>
      </c>
      <c r="J333" s="14"/>
    </row>
    <row r="334" customFormat="false" ht="15" hidden="false" customHeight="false" outlineLevel="0" collapsed="false">
      <c r="A334" s="15"/>
      <c r="B334" s="14"/>
      <c r="C334" s="14"/>
      <c r="D334" s="14"/>
      <c r="E334" s="14"/>
      <c r="F334" s="14"/>
      <c r="G334" s="16"/>
      <c r="H334" s="12" t="str">
        <f aca="false">IF(A334="","",A334+2)</f>
        <v/>
      </c>
      <c r="I334" s="13" t="str">
        <f aca="true">IF(A334="","",IF(AND(OR(F334="New",F334="Replied",F334="Quote sent"),TODAY()&gt;=H334),"Yes",""))</f>
        <v/>
      </c>
      <c r="J334" s="14"/>
    </row>
    <row r="335" customFormat="false" ht="15" hidden="false" customHeight="false" outlineLevel="0" collapsed="false">
      <c r="A335" s="15"/>
      <c r="B335" s="14"/>
      <c r="C335" s="14"/>
      <c r="D335" s="14"/>
      <c r="E335" s="14"/>
      <c r="F335" s="14"/>
      <c r="G335" s="16"/>
      <c r="H335" s="12" t="str">
        <f aca="false">IF(A335="","",A335+2)</f>
        <v/>
      </c>
      <c r="I335" s="13" t="str">
        <f aca="true">IF(A335="","",IF(AND(OR(F335="New",F335="Replied",F335="Quote sent"),TODAY()&gt;=H335),"Yes",""))</f>
        <v/>
      </c>
      <c r="J335" s="14"/>
    </row>
    <row r="336" customFormat="false" ht="15" hidden="false" customHeight="false" outlineLevel="0" collapsed="false">
      <c r="A336" s="15"/>
      <c r="B336" s="14"/>
      <c r="C336" s="14"/>
      <c r="D336" s="14"/>
      <c r="E336" s="14"/>
      <c r="F336" s="14"/>
      <c r="G336" s="16"/>
      <c r="H336" s="12" t="str">
        <f aca="false">IF(A336="","",A336+2)</f>
        <v/>
      </c>
      <c r="I336" s="13" t="str">
        <f aca="true">IF(A336="","",IF(AND(OR(F336="New",F336="Replied",F336="Quote sent"),TODAY()&gt;=H336),"Yes",""))</f>
        <v/>
      </c>
      <c r="J336" s="14"/>
    </row>
    <row r="337" customFormat="false" ht="15" hidden="false" customHeight="false" outlineLevel="0" collapsed="false">
      <c r="A337" s="15"/>
      <c r="B337" s="14"/>
      <c r="C337" s="14"/>
      <c r="D337" s="14"/>
      <c r="E337" s="14"/>
      <c r="F337" s="14"/>
      <c r="G337" s="16"/>
      <c r="H337" s="12" t="str">
        <f aca="false">IF(A337="","",A337+2)</f>
        <v/>
      </c>
      <c r="I337" s="13" t="str">
        <f aca="true">IF(A337="","",IF(AND(OR(F337="New",F337="Replied",F337="Quote sent"),TODAY()&gt;=H337),"Yes",""))</f>
        <v/>
      </c>
      <c r="J337" s="14"/>
    </row>
    <row r="338" customFormat="false" ht="15" hidden="false" customHeight="false" outlineLevel="0" collapsed="false">
      <c r="A338" s="15"/>
      <c r="B338" s="14"/>
      <c r="C338" s="14"/>
      <c r="D338" s="14"/>
      <c r="E338" s="14"/>
      <c r="F338" s="14"/>
      <c r="G338" s="16"/>
      <c r="H338" s="12" t="str">
        <f aca="false">IF(A338="","",A338+2)</f>
        <v/>
      </c>
      <c r="I338" s="13" t="str">
        <f aca="true">IF(A338="","",IF(AND(OR(F338="New",F338="Replied",F338="Quote sent"),TODAY()&gt;=H338),"Yes",""))</f>
        <v/>
      </c>
      <c r="J338" s="14"/>
    </row>
    <row r="339" customFormat="false" ht="15" hidden="false" customHeight="false" outlineLevel="0" collapsed="false">
      <c r="A339" s="15"/>
      <c r="B339" s="14"/>
      <c r="C339" s="14"/>
      <c r="D339" s="14"/>
      <c r="E339" s="14"/>
      <c r="F339" s="14"/>
      <c r="G339" s="16"/>
      <c r="H339" s="12" t="str">
        <f aca="false">IF(A339="","",A339+2)</f>
        <v/>
      </c>
      <c r="I339" s="13" t="str">
        <f aca="true">IF(A339="","",IF(AND(OR(F339="New",F339="Replied",F339="Quote sent"),TODAY()&gt;=H339),"Yes",""))</f>
        <v/>
      </c>
      <c r="J339" s="14"/>
    </row>
    <row r="340" customFormat="false" ht="15" hidden="false" customHeight="false" outlineLevel="0" collapsed="false">
      <c r="A340" s="15"/>
      <c r="B340" s="14"/>
      <c r="C340" s="14"/>
      <c r="D340" s="14"/>
      <c r="E340" s="14"/>
      <c r="F340" s="14"/>
      <c r="G340" s="16"/>
      <c r="H340" s="12" t="str">
        <f aca="false">IF(A340="","",A340+2)</f>
        <v/>
      </c>
      <c r="I340" s="13" t="str">
        <f aca="true">IF(A340="","",IF(AND(OR(F340="New",F340="Replied",F340="Quote sent"),TODAY()&gt;=H340),"Yes",""))</f>
        <v/>
      </c>
      <c r="J340" s="14"/>
    </row>
    <row r="341" customFormat="false" ht="15" hidden="false" customHeight="false" outlineLevel="0" collapsed="false">
      <c r="A341" s="15"/>
      <c r="B341" s="14"/>
      <c r="C341" s="14"/>
      <c r="D341" s="14"/>
      <c r="E341" s="14"/>
      <c r="F341" s="14"/>
      <c r="G341" s="16"/>
      <c r="H341" s="12" t="str">
        <f aca="false">IF(A341="","",A341+2)</f>
        <v/>
      </c>
      <c r="I341" s="13" t="str">
        <f aca="true">IF(A341="","",IF(AND(OR(F341="New",F341="Replied",F341="Quote sent"),TODAY()&gt;=H341),"Yes",""))</f>
        <v/>
      </c>
      <c r="J341" s="14"/>
    </row>
    <row r="342" customFormat="false" ht="15" hidden="false" customHeight="false" outlineLevel="0" collapsed="false">
      <c r="A342" s="15"/>
      <c r="B342" s="14"/>
      <c r="C342" s="14"/>
      <c r="D342" s="14"/>
      <c r="E342" s="14"/>
      <c r="F342" s="14"/>
      <c r="G342" s="16"/>
      <c r="H342" s="12" t="str">
        <f aca="false">IF(A342="","",A342+2)</f>
        <v/>
      </c>
      <c r="I342" s="13" t="str">
        <f aca="true">IF(A342="","",IF(AND(OR(F342="New",F342="Replied",F342="Quote sent"),TODAY()&gt;=H342),"Yes",""))</f>
        <v/>
      </c>
      <c r="J342" s="14"/>
    </row>
    <row r="343" customFormat="false" ht="15" hidden="false" customHeight="false" outlineLevel="0" collapsed="false">
      <c r="A343" s="15"/>
      <c r="B343" s="14"/>
      <c r="C343" s="14"/>
      <c r="D343" s="14"/>
      <c r="E343" s="14"/>
      <c r="F343" s="14"/>
      <c r="G343" s="16"/>
      <c r="H343" s="12" t="str">
        <f aca="false">IF(A343="","",A343+2)</f>
        <v/>
      </c>
      <c r="I343" s="13" t="str">
        <f aca="true">IF(A343="","",IF(AND(OR(F343="New",F343="Replied",F343="Quote sent"),TODAY()&gt;=H343),"Yes",""))</f>
        <v/>
      </c>
      <c r="J343" s="14"/>
    </row>
    <row r="344" customFormat="false" ht="15" hidden="false" customHeight="false" outlineLevel="0" collapsed="false">
      <c r="A344" s="15"/>
      <c r="B344" s="14"/>
      <c r="C344" s="14"/>
      <c r="D344" s="14"/>
      <c r="E344" s="14"/>
      <c r="F344" s="14"/>
      <c r="G344" s="16"/>
      <c r="H344" s="12" t="str">
        <f aca="false">IF(A344="","",A344+2)</f>
        <v/>
      </c>
      <c r="I344" s="13" t="str">
        <f aca="true">IF(A344="","",IF(AND(OR(F344="New",F344="Replied",F344="Quote sent"),TODAY()&gt;=H344),"Yes",""))</f>
        <v/>
      </c>
      <c r="J344" s="14"/>
    </row>
    <row r="345" customFormat="false" ht="15" hidden="false" customHeight="false" outlineLevel="0" collapsed="false">
      <c r="A345" s="15"/>
      <c r="B345" s="14"/>
      <c r="C345" s="14"/>
      <c r="D345" s="14"/>
      <c r="E345" s="14"/>
      <c r="F345" s="14"/>
      <c r="G345" s="16"/>
      <c r="H345" s="12" t="str">
        <f aca="false">IF(A345="","",A345+2)</f>
        <v/>
      </c>
      <c r="I345" s="13" t="str">
        <f aca="true">IF(A345="","",IF(AND(OR(F345="New",F345="Replied",F345="Quote sent"),TODAY()&gt;=H345),"Yes",""))</f>
        <v/>
      </c>
      <c r="J345" s="14"/>
    </row>
    <row r="346" customFormat="false" ht="15" hidden="false" customHeight="false" outlineLevel="0" collapsed="false">
      <c r="A346" s="15"/>
      <c r="B346" s="14"/>
      <c r="C346" s="14"/>
      <c r="D346" s="14"/>
      <c r="E346" s="14"/>
      <c r="F346" s="14"/>
      <c r="G346" s="16"/>
      <c r="H346" s="12" t="str">
        <f aca="false">IF(A346="","",A346+2)</f>
        <v/>
      </c>
      <c r="I346" s="13" t="str">
        <f aca="true">IF(A346="","",IF(AND(OR(F346="New",F346="Replied",F346="Quote sent"),TODAY()&gt;=H346),"Yes",""))</f>
        <v/>
      </c>
      <c r="J346" s="14"/>
    </row>
    <row r="347" customFormat="false" ht="15" hidden="false" customHeight="false" outlineLevel="0" collapsed="false">
      <c r="A347" s="15"/>
      <c r="B347" s="14"/>
      <c r="C347" s="14"/>
      <c r="D347" s="14"/>
      <c r="E347" s="14"/>
      <c r="F347" s="14"/>
      <c r="G347" s="16"/>
      <c r="H347" s="12" t="str">
        <f aca="false">IF(A347="","",A347+2)</f>
        <v/>
      </c>
      <c r="I347" s="13" t="str">
        <f aca="true">IF(A347="","",IF(AND(OR(F347="New",F347="Replied",F347="Quote sent"),TODAY()&gt;=H347),"Yes",""))</f>
        <v/>
      </c>
      <c r="J347" s="14"/>
    </row>
    <row r="348" customFormat="false" ht="15" hidden="false" customHeight="false" outlineLevel="0" collapsed="false">
      <c r="A348" s="15"/>
      <c r="B348" s="14"/>
      <c r="C348" s="14"/>
      <c r="D348" s="14"/>
      <c r="E348" s="14"/>
      <c r="F348" s="14"/>
      <c r="G348" s="16"/>
      <c r="H348" s="12" t="str">
        <f aca="false">IF(A348="","",A348+2)</f>
        <v/>
      </c>
      <c r="I348" s="13" t="str">
        <f aca="true">IF(A348="","",IF(AND(OR(F348="New",F348="Replied",F348="Quote sent"),TODAY()&gt;=H348),"Yes",""))</f>
        <v/>
      </c>
      <c r="J348" s="14"/>
    </row>
    <row r="349" customFormat="false" ht="15" hidden="false" customHeight="false" outlineLevel="0" collapsed="false">
      <c r="A349" s="15"/>
      <c r="B349" s="14"/>
      <c r="C349" s="14"/>
      <c r="D349" s="14"/>
      <c r="E349" s="14"/>
      <c r="F349" s="14"/>
      <c r="G349" s="16"/>
      <c r="H349" s="12" t="str">
        <f aca="false">IF(A349="","",A349+2)</f>
        <v/>
      </c>
      <c r="I349" s="13" t="str">
        <f aca="true">IF(A349="","",IF(AND(OR(F349="New",F349="Replied",F349="Quote sent"),TODAY()&gt;=H349),"Yes",""))</f>
        <v/>
      </c>
      <c r="J349" s="14"/>
    </row>
    <row r="350" customFormat="false" ht="15" hidden="false" customHeight="false" outlineLevel="0" collapsed="false">
      <c r="A350" s="15"/>
      <c r="B350" s="14"/>
      <c r="C350" s="14"/>
      <c r="D350" s="14"/>
      <c r="E350" s="14"/>
      <c r="F350" s="14"/>
      <c r="G350" s="16"/>
      <c r="H350" s="12" t="str">
        <f aca="false">IF(A350="","",A350+2)</f>
        <v/>
      </c>
      <c r="I350" s="13" t="str">
        <f aca="true">IF(A350="","",IF(AND(OR(F350="New",F350="Replied",F350="Quote sent"),TODAY()&gt;=H350),"Yes",""))</f>
        <v/>
      </c>
      <c r="J350" s="14"/>
    </row>
    <row r="351" customFormat="false" ht="15" hidden="false" customHeight="false" outlineLevel="0" collapsed="false">
      <c r="A351" s="15"/>
      <c r="B351" s="14"/>
      <c r="C351" s="14"/>
      <c r="D351" s="14"/>
      <c r="E351" s="14"/>
      <c r="F351" s="14"/>
      <c r="G351" s="16"/>
      <c r="H351" s="12" t="str">
        <f aca="false">IF(A351="","",A351+2)</f>
        <v/>
      </c>
      <c r="I351" s="13" t="str">
        <f aca="true">IF(A351="","",IF(AND(OR(F351="New",F351="Replied",F351="Quote sent"),TODAY()&gt;=H351),"Yes",""))</f>
        <v/>
      </c>
      <c r="J351" s="14"/>
    </row>
    <row r="352" customFormat="false" ht="15" hidden="false" customHeight="false" outlineLevel="0" collapsed="false">
      <c r="A352" s="15"/>
      <c r="B352" s="14"/>
      <c r="C352" s="14"/>
      <c r="D352" s="14"/>
      <c r="E352" s="14"/>
      <c r="F352" s="14"/>
      <c r="G352" s="16"/>
      <c r="H352" s="12" t="str">
        <f aca="false">IF(A352="","",A352+2)</f>
        <v/>
      </c>
      <c r="I352" s="13" t="str">
        <f aca="true">IF(A352="","",IF(AND(OR(F352="New",F352="Replied",F352="Quote sent"),TODAY()&gt;=H352),"Yes",""))</f>
        <v/>
      </c>
      <c r="J352" s="14"/>
    </row>
    <row r="353" customFormat="false" ht="15" hidden="false" customHeight="false" outlineLevel="0" collapsed="false">
      <c r="A353" s="15"/>
      <c r="B353" s="14"/>
      <c r="C353" s="14"/>
      <c r="D353" s="14"/>
      <c r="E353" s="14"/>
      <c r="F353" s="14"/>
      <c r="G353" s="16"/>
      <c r="H353" s="12" t="str">
        <f aca="false">IF(A353="","",A353+2)</f>
        <v/>
      </c>
      <c r="I353" s="13" t="str">
        <f aca="true">IF(A353="","",IF(AND(OR(F353="New",F353="Replied",F353="Quote sent"),TODAY()&gt;=H353),"Yes",""))</f>
        <v/>
      </c>
      <c r="J353" s="14"/>
    </row>
    <row r="354" customFormat="false" ht="15" hidden="false" customHeight="false" outlineLevel="0" collapsed="false">
      <c r="A354" s="15"/>
      <c r="B354" s="14"/>
      <c r="C354" s="14"/>
      <c r="D354" s="14"/>
      <c r="E354" s="14"/>
      <c r="F354" s="14"/>
      <c r="G354" s="16"/>
      <c r="H354" s="12" t="str">
        <f aca="false">IF(A354="","",A354+2)</f>
        <v/>
      </c>
      <c r="I354" s="13" t="str">
        <f aca="true">IF(A354="","",IF(AND(OR(F354="New",F354="Replied",F354="Quote sent"),TODAY()&gt;=H354),"Yes",""))</f>
        <v/>
      </c>
      <c r="J354" s="14"/>
    </row>
    <row r="355" customFormat="false" ht="15" hidden="false" customHeight="false" outlineLevel="0" collapsed="false">
      <c r="A355" s="15"/>
      <c r="B355" s="14"/>
      <c r="C355" s="14"/>
      <c r="D355" s="14"/>
      <c r="E355" s="14"/>
      <c r="F355" s="14"/>
      <c r="G355" s="16"/>
      <c r="H355" s="12" t="str">
        <f aca="false">IF(A355="","",A355+2)</f>
        <v/>
      </c>
      <c r="I355" s="13" t="str">
        <f aca="true">IF(A355="","",IF(AND(OR(F355="New",F355="Replied",F355="Quote sent"),TODAY()&gt;=H355),"Yes",""))</f>
        <v/>
      </c>
      <c r="J355" s="14"/>
    </row>
    <row r="356" customFormat="false" ht="15" hidden="false" customHeight="false" outlineLevel="0" collapsed="false">
      <c r="A356" s="15"/>
      <c r="B356" s="14"/>
      <c r="C356" s="14"/>
      <c r="D356" s="14"/>
      <c r="E356" s="14"/>
      <c r="F356" s="14"/>
      <c r="G356" s="16"/>
      <c r="H356" s="12" t="str">
        <f aca="false">IF(A356="","",A356+2)</f>
        <v/>
      </c>
      <c r="I356" s="13" t="str">
        <f aca="true">IF(A356="","",IF(AND(OR(F356="New",F356="Replied",F356="Quote sent"),TODAY()&gt;=H356),"Yes",""))</f>
        <v/>
      </c>
      <c r="J356" s="14"/>
    </row>
    <row r="357" customFormat="false" ht="15" hidden="false" customHeight="false" outlineLevel="0" collapsed="false">
      <c r="A357" s="15"/>
      <c r="B357" s="14"/>
      <c r="C357" s="14"/>
      <c r="D357" s="14"/>
      <c r="E357" s="14"/>
      <c r="F357" s="14"/>
      <c r="G357" s="16"/>
      <c r="H357" s="12" t="str">
        <f aca="false">IF(A357="","",A357+2)</f>
        <v/>
      </c>
      <c r="I357" s="13" t="str">
        <f aca="true">IF(A357="","",IF(AND(OR(F357="New",F357="Replied",F357="Quote sent"),TODAY()&gt;=H357),"Yes",""))</f>
        <v/>
      </c>
      <c r="J357" s="14"/>
    </row>
    <row r="358" customFormat="false" ht="15" hidden="false" customHeight="false" outlineLevel="0" collapsed="false">
      <c r="A358" s="15"/>
      <c r="B358" s="14"/>
      <c r="C358" s="14"/>
      <c r="D358" s="14"/>
      <c r="E358" s="14"/>
      <c r="F358" s="14"/>
      <c r="G358" s="16"/>
      <c r="H358" s="12" t="str">
        <f aca="false">IF(A358="","",A358+2)</f>
        <v/>
      </c>
      <c r="I358" s="13" t="str">
        <f aca="true">IF(A358="","",IF(AND(OR(F358="New",F358="Replied",F358="Quote sent"),TODAY()&gt;=H358),"Yes",""))</f>
        <v/>
      </c>
      <c r="J358" s="14"/>
    </row>
    <row r="359" customFormat="false" ht="15" hidden="false" customHeight="false" outlineLevel="0" collapsed="false">
      <c r="A359" s="15"/>
      <c r="B359" s="14"/>
      <c r="C359" s="14"/>
      <c r="D359" s="14"/>
      <c r="E359" s="14"/>
      <c r="F359" s="14"/>
      <c r="G359" s="16"/>
      <c r="H359" s="12" t="str">
        <f aca="false">IF(A359="","",A359+2)</f>
        <v/>
      </c>
      <c r="I359" s="13" t="str">
        <f aca="true">IF(A359="","",IF(AND(OR(F359="New",F359="Replied",F359="Quote sent"),TODAY()&gt;=H359),"Yes",""))</f>
        <v/>
      </c>
      <c r="J359" s="14"/>
    </row>
    <row r="360" customFormat="false" ht="15" hidden="false" customHeight="false" outlineLevel="0" collapsed="false">
      <c r="A360" s="15"/>
      <c r="B360" s="14"/>
      <c r="C360" s="14"/>
      <c r="D360" s="14"/>
      <c r="E360" s="14"/>
      <c r="F360" s="14"/>
      <c r="G360" s="16"/>
      <c r="H360" s="12" t="str">
        <f aca="false">IF(A360="","",A360+2)</f>
        <v/>
      </c>
      <c r="I360" s="13" t="str">
        <f aca="true">IF(A360="","",IF(AND(OR(F360="New",F360="Replied",F360="Quote sent"),TODAY()&gt;=H360),"Yes",""))</f>
        <v/>
      </c>
      <c r="J360" s="14"/>
    </row>
    <row r="361" customFormat="false" ht="15" hidden="false" customHeight="false" outlineLevel="0" collapsed="false">
      <c r="A361" s="15"/>
      <c r="B361" s="14"/>
      <c r="C361" s="14"/>
      <c r="D361" s="14"/>
      <c r="E361" s="14"/>
      <c r="F361" s="14"/>
      <c r="G361" s="16"/>
      <c r="H361" s="12" t="str">
        <f aca="false">IF(A361="","",A361+2)</f>
        <v/>
      </c>
      <c r="I361" s="13" t="str">
        <f aca="true">IF(A361="","",IF(AND(OR(F361="New",F361="Replied",F361="Quote sent"),TODAY()&gt;=H361),"Yes",""))</f>
        <v/>
      </c>
      <c r="J361" s="14"/>
    </row>
    <row r="362" customFormat="false" ht="15" hidden="false" customHeight="false" outlineLevel="0" collapsed="false">
      <c r="A362" s="15"/>
      <c r="B362" s="14"/>
      <c r="C362" s="14"/>
      <c r="D362" s="14"/>
      <c r="E362" s="14"/>
      <c r="F362" s="14"/>
      <c r="G362" s="16"/>
      <c r="H362" s="12" t="str">
        <f aca="false">IF(A362="","",A362+2)</f>
        <v/>
      </c>
      <c r="I362" s="13" t="str">
        <f aca="true">IF(A362="","",IF(AND(OR(F362="New",F362="Replied",F362="Quote sent"),TODAY()&gt;=H362),"Yes",""))</f>
        <v/>
      </c>
      <c r="J362" s="14"/>
    </row>
    <row r="363" customFormat="false" ht="15" hidden="false" customHeight="false" outlineLevel="0" collapsed="false">
      <c r="A363" s="15"/>
      <c r="B363" s="14"/>
      <c r="C363" s="14"/>
      <c r="D363" s="14"/>
      <c r="E363" s="14"/>
      <c r="F363" s="14"/>
      <c r="G363" s="16"/>
      <c r="H363" s="12" t="str">
        <f aca="false">IF(A363="","",A363+2)</f>
        <v/>
      </c>
      <c r="I363" s="13" t="str">
        <f aca="true">IF(A363="","",IF(AND(OR(F363="New",F363="Replied",F363="Quote sent"),TODAY()&gt;=H363),"Yes",""))</f>
        <v/>
      </c>
      <c r="J363" s="14"/>
    </row>
    <row r="364" customFormat="false" ht="15" hidden="false" customHeight="false" outlineLevel="0" collapsed="false">
      <c r="A364" s="15"/>
      <c r="B364" s="14"/>
      <c r="C364" s="14"/>
      <c r="D364" s="14"/>
      <c r="E364" s="14"/>
      <c r="F364" s="14"/>
      <c r="G364" s="16"/>
      <c r="H364" s="12" t="str">
        <f aca="false">IF(A364="","",A364+2)</f>
        <v/>
      </c>
      <c r="I364" s="13" t="str">
        <f aca="true">IF(A364="","",IF(AND(OR(F364="New",F364="Replied",F364="Quote sent"),TODAY()&gt;=H364),"Yes",""))</f>
        <v/>
      </c>
      <c r="J364" s="14"/>
    </row>
    <row r="365" customFormat="false" ht="15" hidden="false" customHeight="false" outlineLevel="0" collapsed="false">
      <c r="A365" s="15"/>
      <c r="B365" s="14"/>
      <c r="C365" s="14"/>
      <c r="D365" s="14"/>
      <c r="E365" s="14"/>
      <c r="F365" s="14"/>
      <c r="G365" s="16"/>
      <c r="H365" s="12" t="str">
        <f aca="false">IF(A365="","",A365+2)</f>
        <v/>
      </c>
      <c r="I365" s="13" t="str">
        <f aca="true">IF(A365="","",IF(AND(OR(F365="New",F365="Replied",F365="Quote sent"),TODAY()&gt;=H365),"Yes",""))</f>
        <v/>
      </c>
      <c r="J365" s="14"/>
    </row>
    <row r="366" customFormat="false" ht="15" hidden="false" customHeight="false" outlineLevel="0" collapsed="false">
      <c r="A366" s="15"/>
      <c r="B366" s="14"/>
      <c r="C366" s="14"/>
      <c r="D366" s="14"/>
      <c r="E366" s="14"/>
      <c r="F366" s="14"/>
      <c r="G366" s="16"/>
      <c r="H366" s="12" t="str">
        <f aca="false">IF(A366="","",A366+2)</f>
        <v/>
      </c>
      <c r="I366" s="13" t="str">
        <f aca="true">IF(A366="","",IF(AND(OR(F366="New",F366="Replied",F366="Quote sent"),TODAY()&gt;=H366),"Yes",""))</f>
        <v/>
      </c>
      <c r="J366" s="14"/>
    </row>
    <row r="367" customFormat="false" ht="15" hidden="false" customHeight="false" outlineLevel="0" collapsed="false">
      <c r="A367" s="15"/>
      <c r="B367" s="14"/>
      <c r="C367" s="14"/>
      <c r="D367" s="14"/>
      <c r="E367" s="14"/>
      <c r="F367" s="14"/>
      <c r="G367" s="16"/>
      <c r="H367" s="12" t="str">
        <f aca="false">IF(A367="","",A367+2)</f>
        <v/>
      </c>
      <c r="I367" s="13" t="str">
        <f aca="true">IF(A367="","",IF(AND(OR(F367="New",F367="Replied",F367="Quote sent"),TODAY()&gt;=H367),"Yes",""))</f>
        <v/>
      </c>
      <c r="J367" s="14"/>
    </row>
    <row r="368" customFormat="false" ht="15" hidden="false" customHeight="false" outlineLevel="0" collapsed="false">
      <c r="A368" s="15"/>
      <c r="B368" s="14"/>
      <c r="C368" s="14"/>
      <c r="D368" s="14"/>
      <c r="E368" s="14"/>
      <c r="F368" s="14"/>
      <c r="G368" s="16"/>
      <c r="H368" s="12" t="str">
        <f aca="false">IF(A368="","",A368+2)</f>
        <v/>
      </c>
      <c r="I368" s="13" t="str">
        <f aca="true">IF(A368="","",IF(AND(OR(F368="New",F368="Replied",F368="Quote sent"),TODAY()&gt;=H368),"Yes",""))</f>
        <v/>
      </c>
      <c r="J368" s="14"/>
    </row>
    <row r="369" customFormat="false" ht="15" hidden="false" customHeight="false" outlineLevel="0" collapsed="false">
      <c r="A369" s="15"/>
      <c r="B369" s="14"/>
      <c r="C369" s="14"/>
      <c r="D369" s="14"/>
      <c r="E369" s="14"/>
      <c r="F369" s="14"/>
      <c r="G369" s="16"/>
      <c r="H369" s="12" t="str">
        <f aca="false">IF(A369="","",A369+2)</f>
        <v/>
      </c>
      <c r="I369" s="13" t="str">
        <f aca="true">IF(A369="","",IF(AND(OR(F369="New",F369="Replied",F369="Quote sent"),TODAY()&gt;=H369),"Yes",""))</f>
        <v/>
      </c>
      <c r="J369" s="14"/>
    </row>
    <row r="370" customFormat="false" ht="15" hidden="false" customHeight="false" outlineLevel="0" collapsed="false">
      <c r="A370" s="15"/>
      <c r="B370" s="14"/>
      <c r="C370" s="14"/>
      <c r="D370" s="14"/>
      <c r="E370" s="14"/>
      <c r="F370" s="14"/>
      <c r="G370" s="16"/>
      <c r="H370" s="12" t="str">
        <f aca="false">IF(A370="","",A370+2)</f>
        <v/>
      </c>
      <c r="I370" s="13" t="str">
        <f aca="true">IF(A370="","",IF(AND(OR(F370="New",F370="Replied",F370="Quote sent"),TODAY()&gt;=H370),"Yes",""))</f>
        <v/>
      </c>
      <c r="J370" s="14"/>
    </row>
    <row r="371" customFormat="false" ht="15" hidden="false" customHeight="false" outlineLevel="0" collapsed="false">
      <c r="A371" s="15"/>
      <c r="B371" s="14"/>
      <c r="C371" s="14"/>
      <c r="D371" s="14"/>
      <c r="E371" s="14"/>
      <c r="F371" s="14"/>
      <c r="G371" s="16"/>
      <c r="H371" s="12" t="str">
        <f aca="false">IF(A371="","",A371+2)</f>
        <v/>
      </c>
      <c r="I371" s="13" t="str">
        <f aca="true">IF(A371="","",IF(AND(OR(F371="New",F371="Replied",F371="Quote sent"),TODAY()&gt;=H371),"Yes",""))</f>
        <v/>
      </c>
      <c r="J371" s="14"/>
    </row>
    <row r="372" customFormat="false" ht="15" hidden="false" customHeight="false" outlineLevel="0" collapsed="false">
      <c r="A372" s="15"/>
      <c r="B372" s="14"/>
      <c r="C372" s="14"/>
      <c r="D372" s="14"/>
      <c r="E372" s="14"/>
      <c r="F372" s="14"/>
      <c r="G372" s="16"/>
      <c r="H372" s="12" t="str">
        <f aca="false">IF(A372="","",A372+2)</f>
        <v/>
      </c>
      <c r="I372" s="13" t="str">
        <f aca="true">IF(A372="","",IF(AND(OR(F372="New",F372="Replied",F372="Quote sent"),TODAY()&gt;=H372),"Yes",""))</f>
        <v/>
      </c>
      <c r="J372" s="14"/>
    </row>
    <row r="373" customFormat="false" ht="15" hidden="false" customHeight="false" outlineLevel="0" collapsed="false">
      <c r="A373" s="15"/>
      <c r="B373" s="14"/>
      <c r="C373" s="14"/>
      <c r="D373" s="14"/>
      <c r="E373" s="14"/>
      <c r="F373" s="14"/>
      <c r="G373" s="16"/>
      <c r="H373" s="12" t="str">
        <f aca="false">IF(A373="","",A373+2)</f>
        <v/>
      </c>
      <c r="I373" s="13" t="str">
        <f aca="true">IF(A373="","",IF(AND(OR(F373="New",F373="Replied",F373="Quote sent"),TODAY()&gt;=H373),"Yes",""))</f>
        <v/>
      </c>
      <c r="J373" s="14"/>
    </row>
    <row r="374" customFormat="false" ht="15" hidden="false" customHeight="false" outlineLevel="0" collapsed="false">
      <c r="A374" s="15"/>
      <c r="B374" s="14"/>
      <c r="C374" s="14"/>
      <c r="D374" s="14"/>
      <c r="E374" s="14"/>
      <c r="F374" s="14"/>
      <c r="G374" s="16"/>
      <c r="H374" s="12" t="str">
        <f aca="false">IF(A374="","",A374+2)</f>
        <v/>
      </c>
      <c r="I374" s="13" t="str">
        <f aca="true">IF(A374="","",IF(AND(OR(F374="New",F374="Replied",F374="Quote sent"),TODAY()&gt;=H374),"Yes",""))</f>
        <v/>
      </c>
      <c r="J374" s="14"/>
    </row>
    <row r="375" customFormat="false" ht="15" hidden="false" customHeight="false" outlineLevel="0" collapsed="false">
      <c r="A375" s="15"/>
      <c r="B375" s="14"/>
      <c r="C375" s="14"/>
      <c r="D375" s="14"/>
      <c r="E375" s="14"/>
      <c r="F375" s="14"/>
      <c r="G375" s="16"/>
      <c r="H375" s="12" t="str">
        <f aca="false">IF(A375="","",A375+2)</f>
        <v/>
      </c>
      <c r="I375" s="13" t="str">
        <f aca="true">IF(A375="","",IF(AND(OR(F375="New",F375="Replied",F375="Quote sent"),TODAY()&gt;=H375),"Yes",""))</f>
        <v/>
      </c>
      <c r="J375" s="14"/>
    </row>
    <row r="376" customFormat="false" ht="15" hidden="false" customHeight="false" outlineLevel="0" collapsed="false">
      <c r="A376" s="15"/>
      <c r="B376" s="14"/>
      <c r="C376" s="14"/>
      <c r="D376" s="14"/>
      <c r="E376" s="14"/>
      <c r="F376" s="14"/>
      <c r="G376" s="16"/>
      <c r="H376" s="12" t="str">
        <f aca="false">IF(A376="","",A376+2)</f>
        <v/>
      </c>
      <c r="I376" s="13" t="str">
        <f aca="true">IF(A376="","",IF(AND(OR(F376="New",F376="Replied",F376="Quote sent"),TODAY()&gt;=H376),"Yes",""))</f>
        <v/>
      </c>
      <c r="J376" s="14"/>
    </row>
    <row r="377" customFormat="false" ht="15" hidden="false" customHeight="false" outlineLevel="0" collapsed="false">
      <c r="A377" s="15"/>
      <c r="B377" s="14"/>
      <c r="C377" s="14"/>
      <c r="D377" s="14"/>
      <c r="E377" s="14"/>
      <c r="F377" s="14"/>
      <c r="G377" s="16"/>
      <c r="H377" s="12" t="str">
        <f aca="false">IF(A377="","",A377+2)</f>
        <v/>
      </c>
      <c r="I377" s="13" t="str">
        <f aca="true">IF(A377="","",IF(AND(OR(F377="New",F377="Replied",F377="Quote sent"),TODAY()&gt;=H377),"Yes",""))</f>
        <v/>
      </c>
      <c r="J377" s="14"/>
    </row>
    <row r="378" customFormat="false" ht="15" hidden="false" customHeight="false" outlineLevel="0" collapsed="false">
      <c r="A378" s="15"/>
      <c r="B378" s="14"/>
      <c r="C378" s="14"/>
      <c r="D378" s="14"/>
      <c r="E378" s="14"/>
      <c r="F378" s="14"/>
      <c r="G378" s="16"/>
      <c r="H378" s="12" t="str">
        <f aca="false">IF(A378="","",A378+2)</f>
        <v/>
      </c>
      <c r="I378" s="13" t="str">
        <f aca="true">IF(A378="","",IF(AND(OR(F378="New",F378="Replied",F378="Quote sent"),TODAY()&gt;=H378),"Yes",""))</f>
        <v/>
      </c>
      <c r="J378" s="14"/>
    </row>
    <row r="379" customFormat="false" ht="15" hidden="false" customHeight="false" outlineLevel="0" collapsed="false">
      <c r="A379" s="15"/>
      <c r="B379" s="14"/>
      <c r="C379" s="14"/>
      <c r="D379" s="14"/>
      <c r="E379" s="14"/>
      <c r="F379" s="14"/>
      <c r="G379" s="16"/>
      <c r="H379" s="12" t="str">
        <f aca="false">IF(A379="","",A379+2)</f>
        <v/>
      </c>
      <c r="I379" s="13" t="str">
        <f aca="true">IF(A379="","",IF(AND(OR(F379="New",F379="Replied",F379="Quote sent"),TODAY()&gt;=H379),"Yes",""))</f>
        <v/>
      </c>
      <c r="J379" s="14"/>
    </row>
    <row r="380" customFormat="false" ht="15" hidden="false" customHeight="false" outlineLevel="0" collapsed="false">
      <c r="A380" s="15"/>
      <c r="B380" s="14"/>
      <c r="C380" s="14"/>
      <c r="D380" s="14"/>
      <c r="E380" s="14"/>
      <c r="F380" s="14"/>
      <c r="G380" s="16"/>
      <c r="H380" s="12" t="str">
        <f aca="false">IF(A380="","",A380+2)</f>
        <v/>
      </c>
      <c r="I380" s="13" t="str">
        <f aca="true">IF(A380="","",IF(AND(OR(F380="New",F380="Replied",F380="Quote sent"),TODAY()&gt;=H380),"Yes",""))</f>
        <v/>
      </c>
      <c r="J380" s="14"/>
    </row>
    <row r="381" customFormat="false" ht="15" hidden="false" customHeight="false" outlineLevel="0" collapsed="false">
      <c r="A381" s="15"/>
      <c r="B381" s="14"/>
      <c r="C381" s="14"/>
      <c r="D381" s="14"/>
      <c r="E381" s="14"/>
      <c r="F381" s="14"/>
      <c r="G381" s="16"/>
      <c r="H381" s="12" t="str">
        <f aca="false">IF(A381="","",A381+2)</f>
        <v/>
      </c>
      <c r="I381" s="13" t="str">
        <f aca="true">IF(A381="","",IF(AND(OR(F381="New",F381="Replied",F381="Quote sent"),TODAY()&gt;=H381),"Yes",""))</f>
        <v/>
      </c>
      <c r="J381" s="14"/>
    </row>
    <row r="382" customFormat="false" ht="15" hidden="false" customHeight="false" outlineLevel="0" collapsed="false">
      <c r="A382" s="15"/>
      <c r="B382" s="14"/>
      <c r="C382" s="14"/>
      <c r="D382" s="14"/>
      <c r="E382" s="14"/>
      <c r="F382" s="14"/>
      <c r="G382" s="16"/>
      <c r="H382" s="12" t="str">
        <f aca="false">IF(A382="","",A382+2)</f>
        <v/>
      </c>
      <c r="I382" s="13" t="str">
        <f aca="true">IF(A382="","",IF(AND(OR(F382="New",F382="Replied",F382="Quote sent"),TODAY()&gt;=H382),"Yes",""))</f>
        <v/>
      </c>
      <c r="J382" s="14"/>
    </row>
    <row r="383" customFormat="false" ht="15" hidden="false" customHeight="false" outlineLevel="0" collapsed="false">
      <c r="A383" s="15"/>
      <c r="B383" s="14"/>
      <c r="C383" s="14"/>
      <c r="D383" s="14"/>
      <c r="E383" s="14"/>
      <c r="F383" s="14"/>
      <c r="G383" s="16"/>
      <c r="H383" s="12" t="str">
        <f aca="false">IF(A383="","",A383+2)</f>
        <v/>
      </c>
      <c r="I383" s="13" t="str">
        <f aca="true">IF(A383="","",IF(AND(OR(F383="New",F383="Replied",F383="Quote sent"),TODAY()&gt;=H383),"Yes",""))</f>
        <v/>
      </c>
      <c r="J383" s="14"/>
    </row>
    <row r="384" customFormat="false" ht="15" hidden="false" customHeight="false" outlineLevel="0" collapsed="false">
      <c r="A384" s="15"/>
      <c r="B384" s="14"/>
      <c r="C384" s="14"/>
      <c r="D384" s="14"/>
      <c r="E384" s="14"/>
      <c r="F384" s="14"/>
      <c r="G384" s="16"/>
      <c r="H384" s="12" t="str">
        <f aca="false">IF(A384="","",A384+2)</f>
        <v/>
      </c>
      <c r="I384" s="13" t="str">
        <f aca="true">IF(A384="","",IF(AND(OR(F384="New",F384="Replied",F384="Quote sent"),TODAY()&gt;=H384),"Yes",""))</f>
        <v/>
      </c>
      <c r="J384" s="14"/>
    </row>
    <row r="385" customFormat="false" ht="15" hidden="false" customHeight="false" outlineLevel="0" collapsed="false">
      <c r="A385" s="15"/>
      <c r="B385" s="14"/>
      <c r="C385" s="14"/>
      <c r="D385" s="14"/>
      <c r="E385" s="14"/>
      <c r="F385" s="14"/>
      <c r="G385" s="16"/>
      <c r="H385" s="12" t="str">
        <f aca="false">IF(A385="","",A385+2)</f>
        <v/>
      </c>
      <c r="I385" s="13" t="str">
        <f aca="true">IF(A385="","",IF(AND(OR(F385="New",F385="Replied",F385="Quote sent"),TODAY()&gt;=H385),"Yes",""))</f>
        <v/>
      </c>
      <c r="J385" s="14"/>
    </row>
    <row r="386" customFormat="false" ht="15" hidden="false" customHeight="false" outlineLevel="0" collapsed="false">
      <c r="A386" s="15"/>
      <c r="B386" s="14"/>
      <c r="C386" s="14"/>
      <c r="D386" s="14"/>
      <c r="E386" s="14"/>
      <c r="F386" s="14"/>
      <c r="G386" s="16"/>
      <c r="H386" s="12" t="str">
        <f aca="false">IF(A386="","",A386+2)</f>
        <v/>
      </c>
      <c r="I386" s="13" t="str">
        <f aca="true">IF(A386="","",IF(AND(OR(F386="New",F386="Replied",F386="Quote sent"),TODAY()&gt;=H386),"Yes",""))</f>
        <v/>
      </c>
      <c r="J386" s="14"/>
    </row>
    <row r="387" customFormat="false" ht="15" hidden="false" customHeight="false" outlineLevel="0" collapsed="false">
      <c r="A387" s="15"/>
      <c r="B387" s="14"/>
      <c r="C387" s="14"/>
      <c r="D387" s="14"/>
      <c r="E387" s="14"/>
      <c r="F387" s="14"/>
      <c r="G387" s="16"/>
      <c r="H387" s="12" t="str">
        <f aca="false">IF(A387="","",A387+2)</f>
        <v/>
      </c>
      <c r="I387" s="13" t="str">
        <f aca="true">IF(A387="","",IF(AND(OR(F387="New",F387="Replied",F387="Quote sent"),TODAY()&gt;=H387),"Yes",""))</f>
        <v/>
      </c>
      <c r="J387" s="14"/>
    </row>
    <row r="388" customFormat="false" ht="15" hidden="false" customHeight="false" outlineLevel="0" collapsed="false">
      <c r="A388" s="15"/>
      <c r="B388" s="14"/>
      <c r="C388" s="14"/>
      <c r="D388" s="14"/>
      <c r="E388" s="14"/>
      <c r="F388" s="14"/>
      <c r="G388" s="16"/>
      <c r="H388" s="12" t="str">
        <f aca="false">IF(A388="","",A388+2)</f>
        <v/>
      </c>
      <c r="I388" s="13" t="str">
        <f aca="true">IF(A388="","",IF(AND(OR(F388="New",F388="Replied",F388="Quote sent"),TODAY()&gt;=H388),"Yes",""))</f>
        <v/>
      </c>
      <c r="J388" s="14"/>
    </row>
    <row r="389" customFormat="false" ht="15" hidden="false" customHeight="false" outlineLevel="0" collapsed="false">
      <c r="A389" s="15"/>
      <c r="B389" s="14"/>
      <c r="C389" s="14"/>
      <c r="D389" s="14"/>
      <c r="E389" s="14"/>
      <c r="F389" s="14"/>
      <c r="G389" s="16"/>
      <c r="H389" s="12" t="str">
        <f aca="false">IF(A389="","",A389+2)</f>
        <v/>
      </c>
      <c r="I389" s="13" t="str">
        <f aca="true">IF(A389="","",IF(AND(OR(F389="New",F389="Replied",F389="Quote sent"),TODAY()&gt;=H389),"Yes",""))</f>
        <v/>
      </c>
      <c r="J389" s="14"/>
    </row>
    <row r="390" customFormat="false" ht="15" hidden="false" customHeight="false" outlineLevel="0" collapsed="false">
      <c r="A390" s="15"/>
      <c r="B390" s="14"/>
      <c r="C390" s="14"/>
      <c r="D390" s="14"/>
      <c r="E390" s="14"/>
      <c r="F390" s="14"/>
      <c r="G390" s="16"/>
      <c r="H390" s="12" t="str">
        <f aca="false">IF(A390="","",A390+2)</f>
        <v/>
      </c>
      <c r="I390" s="13" t="str">
        <f aca="true">IF(A390="","",IF(AND(OR(F390="New",F390="Replied",F390="Quote sent"),TODAY()&gt;=H390),"Yes",""))</f>
        <v/>
      </c>
      <c r="J390" s="14"/>
    </row>
    <row r="391" customFormat="false" ht="15" hidden="false" customHeight="false" outlineLevel="0" collapsed="false">
      <c r="A391" s="15"/>
      <c r="B391" s="14"/>
      <c r="C391" s="14"/>
      <c r="D391" s="14"/>
      <c r="E391" s="14"/>
      <c r="F391" s="14"/>
      <c r="G391" s="16"/>
      <c r="H391" s="12" t="str">
        <f aca="false">IF(A391="","",A391+2)</f>
        <v/>
      </c>
      <c r="I391" s="13" t="str">
        <f aca="true">IF(A391="","",IF(AND(OR(F391="New",F391="Replied",F391="Quote sent"),TODAY()&gt;=H391),"Yes",""))</f>
        <v/>
      </c>
      <c r="J391" s="14"/>
    </row>
    <row r="392" customFormat="false" ht="15" hidden="false" customHeight="false" outlineLevel="0" collapsed="false">
      <c r="A392" s="15"/>
      <c r="B392" s="14"/>
      <c r="C392" s="14"/>
      <c r="D392" s="14"/>
      <c r="E392" s="14"/>
      <c r="F392" s="14"/>
      <c r="G392" s="16"/>
      <c r="H392" s="12" t="str">
        <f aca="false">IF(A392="","",A392+2)</f>
        <v/>
      </c>
      <c r="I392" s="13" t="str">
        <f aca="true">IF(A392="","",IF(AND(OR(F392="New",F392="Replied",F392="Quote sent"),TODAY()&gt;=H392),"Yes",""))</f>
        <v/>
      </c>
      <c r="J392" s="14"/>
    </row>
    <row r="393" customFormat="false" ht="15" hidden="false" customHeight="false" outlineLevel="0" collapsed="false">
      <c r="A393" s="15"/>
      <c r="B393" s="14"/>
      <c r="C393" s="14"/>
      <c r="D393" s="14"/>
      <c r="E393" s="14"/>
      <c r="F393" s="14"/>
      <c r="G393" s="16"/>
      <c r="H393" s="12" t="str">
        <f aca="false">IF(A393="","",A393+2)</f>
        <v/>
      </c>
      <c r="I393" s="13" t="str">
        <f aca="true">IF(A393="","",IF(AND(OR(F393="New",F393="Replied",F393="Quote sent"),TODAY()&gt;=H393),"Yes",""))</f>
        <v/>
      </c>
      <c r="J393" s="14"/>
    </row>
    <row r="394" customFormat="false" ht="15" hidden="false" customHeight="false" outlineLevel="0" collapsed="false">
      <c r="A394" s="15"/>
      <c r="B394" s="14"/>
      <c r="C394" s="14"/>
      <c r="D394" s="14"/>
      <c r="E394" s="14"/>
      <c r="F394" s="14"/>
      <c r="G394" s="16"/>
      <c r="H394" s="12" t="str">
        <f aca="false">IF(A394="","",A394+2)</f>
        <v/>
      </c>
      <c r="I394" s="13" t="str">
        <f aca="true">IF(A394="","",IF(AND(OR(F394="New",F394="Replied",F394="Quote sent"),TODAY()&gt;=H394),"Yes",""))</f>
        <v/>
      </c>
      <c r="J394" s="14"/>
    </row>
    <row r="395" customFormat="false" ht="15" hidden="false" customHeight="false" outlineLevel="0" collapsed="false">
      <c r="A395" s="15"/>
      <c r="B395" s="14"/>
      <c r="C395" s="14"/>
      <c r="D395" s="14"/>
      <c r="E395" s="14"/>
      <c r="F395" s="14"/>
      <c r="G395" s="16"/>
      <c r="H395" s="12" t="str">
        <f aca="false">IF(A395="","",A395+2)</f>
        <v/>
      </c>
      <c r="I395" s="13" t="str">
        <f aca="true">IF(A395="","",IF(AND(OR(F395="New",F395="Replied",F395="Quote sent"),TODAY()&gt;=H395),"Yes",""))</f>
        <v/>
      </c>
      <c r="J395" s="14"/>
    </row>
    <row r="396" customFormat="false" ht="15" hidden="false" customHeight="false" outlineLevel="0" collapsed="false">
      <c r="A396" s="15"/>
      <c r="B396" s="14"/>
      <c r="C396" s="14"/>
      <c r="D396" s="14"/>
      <c r="E396" s="14"/>
      <c r="F396" s="14"/>
      <c r="G396" s="16"/>
      <c r="H396" s="12" t="str">
        <f aca="false">IF(A396="","",A396+2)</f>
        <v/>
      </c>
      <c r="I396" s="13" t="str">
        <f aca="true">IF(A396="","",IF(AND(OR(F396="New",F396="Replied",F396="Quote sent"),TODAY()&gt;=H396),"Yes",""))</f>
        <v/>
      </c>
      <c r="J396" s="14"/>
    </row>
    <row r="397" customFormat="false" ht="15" hidden="false" customHeight="false" outlineLevel="0" collapsed="false">
      <c r="A397" s="15"/>
      <c r="B397" s="14"/>
      <c r="C397" s="14"/>
      <c r="D397" s="14"/>
      <c r="E397" s="14"/>
      <c r="F397" s="14"/>
      <c r="G397" s="16"/>
      <c r="H397" s="12" t="str">
        <f aca="false">IF(A397="","",A397+2)</f>
        <v/>
      </c>
      <c r="I397" s="13" t="str">
        <f aca="true">IF(A397="","",IF(AND(OR(F397="New",F397="Replied",F397="Quote sent"),TODAY()&gt;=H397),"Yes",""))</f>
        <v/>
      </c>
      <c r="J397" s="14"/>
    </row>
    <row r="398" customFormat="false" ht="15" hidden="false" customHeight="false" outlineLevel="0" collapsed="false">
      <c r="A398" s="15"/>
      <c r="B398" s="14"/>
      <c r="C398" s="14"/>
      <c r="D398" s="14"/>
      <c r="E398" s="14"/>
      <c r="F398" s="14"/>
      <c r="G398" s="16"/>
      <c r="H398" s="12" t="str">
        <f aca="false">IF(A398="","",A398+2)</f>
        <v/>
      </c>
      <c r="I398" s="13" t="str">
        <f aca="true">IF(A398="","",IF(AND(OR(F398="New",F398="Replied",F398="Quote sent"),TODAY()&gt;=H398),"Yes",""))</f>
        <v/>
      </c>
      <c r="J398" s="14"/>
    </row>
    <row r="399" customFormat="false" ht="15" hidden="false" customHeight="false" outlineLevel="0" collapsed="false">
      <c r="A399" s="15"/>
      <c r="B399" s="14"/>
      <c r="C399" s="14"/>
      <c r="D399" s="14"/>
      <c r="E399" s="14"/>
      <c r="F399" s="14"/>
      <c r="G399" s="16"/>
      <c r="H399" s="12" t="str">
        <f aca="false">IF(A399="","",A399+2)</f>
        <v/>
      </c>
      <c r="I399" s="13" t="str">
        <f aca="true">IF(A399="","",IF(AND(OR(F399="New",F399="Replied",F399="Quote sent"),TODAY()&gt;=H399),"Yes",""))</f>
        <v/>
      </c>
      <c r="J399" s="14"/>
    </row>
    <row r="400" customFormat="false" ht="15" hidden="false" customHeight="false" outlineLevel="0" collapsed="false">
      <c r="A400" s="15"/>
      <c r="B400" s="14"/>
      <c r="C400" s="14"/>
      <c r="D400" s="14"/>
      <c r="E400" s="14"/>
      <c r="F400" s="14"/>
      <c r="G400" s="16"/>
      <c r="H400" s="12" t="str">
        <f aca="false">IF(A400="","",A400+2)</f>
        <v/>
      </c>
      <c r="I400" s="13" t="str">
        <f aca="true">IF(A400="","",IF(AND(OR(F400="New",F400="Replied",F400="Quote sent"),TODAY()&gt;=H400),"Yes",""))</f>
        <v/>
      </c>
      <c r="J400" s="14"/>
    </row>
    <row r="401" customFormat="false" ht="15" hidden="false" customHeight="false" outlineLevel="0" collapsed="false">
      <c r="A401" s="15"/>
      <c r="B401" s="14"/>
      <c r="C401" s="14"/>
      <c r="D401" s="14"/>
      <c r="E401" s="14"/>
      <c r="F401" s="14"/>
      <c r="G401" s="16"/>
      <c r="H401" s="12" t="str">
        <f aca="false">IF(A401="","",A401+2)</f>
        <v/>
      </c>
      <c r="I401" s="13" t="str">
        <f aca="true">IF(A401="","",IF(AND(OR(F401="New",F401="Replied",F401="Quote sent"),TODAY()&gt;=H401),"Yes",""))</f>
        <v/>
      </c>
      <c r="J401" s="14"/>
    </row>
    <row r="402" customFormat="false" ht="15" hidden="false" customHeight="false" outlineLevel="0" collapsed="false">
      <c r="A402" s="15"/>
      <c r="B402" s="14"/>
      <c r="C402" s="14"/>
      <c r="D402" s="14"/>
      <c r="E402" s="14"/>
      <c r="F402" s="14"/>
      <c r="G402" s="16"/>
      <c r="H402" s="12" t="str">
        <f aca="false">IF(A402="","",A402+2)</f>
        <v/>
      </c>
      <c r="I402" s="13" t="str">
        <f aca="true">IF(A402="","",IF(AND(OR(F402="New",F402="Replied",F402="Quote sent"),TODAY()&gt;=H402),"Yes",""))</f>
        <v/>
      </c>
      <c r="J402" s="14"/>
    </row>
    <row r="403" customFormat="false" ht="15" hidden="false" customHeight="false" outlineLevel="0" collapsed="false">
      <c r="A403" s="15"/>
      <c r="B403" s="14"/>
      <c r="C403" s="14"/>
      <c r="D403" s="14"/>
      <c r="E403" s="14"/>
      <c r="F403" s="14"/>
      <c r="G403" s="16"/>
      <c r="H403" s="12" t="str">
        <f aca="false">IF(A403="","",A403+2)</f>
        <v/>
      </c>
      <c r="I403" s="13" t="str">
        <f aca="true">IF(A403="","",IF(AND(OR(F403="New",F403="Replied",F403="Quote sent"),TODAY()&gt;=H403),"Yes",""))</f>
        <v/>
      </c>
      <c r="J403" s="14"/>
    </row>
    <row r="404" customFormat="false" ht="15" hidden="false" customHeight="false" outlineLevel="0" collapsed="false">
      <c r="A404" s="15"/>
      <c r="B404" s="14"/>
      <c r="C404" s="14"/>
      <c r="D404" s="14"/>
      <c r="E404" s="14"/>
      <c r="F404" s="14"/>
      <c r="G404" s="16"/>
      <c r="H404" s="12" t="str">
        <f aca="false">IF(A404="","",A404+2)</f>
        <v/>
      </c>
      <c r="I404" s="13" t="str">
        <f aca="true">IF(A404="","",IF(AND(OR(F404="New",F404="Replied",F404="Quote sent"),TODAY()&gt;=H404),"Yes",""))</f>
        <v/>
      </c>
      <c r="J404" s="14"/>
    </row>
    <row r="405" customFormat="false" ht="15" hidden="false" customHeight="false" outlineLevel="0" collapsed="false">
      <c r="A405" s="15"/>
      <c r="B405" s="14"/>
      <c r="C405" s="14"/>
      <c r="D405" s="14"/>
      <c r="E405" s="14"/>
      <c r="F405" s="14"/>
      <c r="G405" s="16"/>
      <c r="H405" s="12" t="str">
        <f aca="false">IF(A405="","",A405+2)</f>
        <v/>
      </c>
      <c r="I405" s="13" t="str">
        <f aca="true">IF(A405="","",IF(AND(OR(F405="New",F405="Replied",F405="Quote sent"),TODAY()&gt;=H405),"Yes",""))</f>
        <v/>
      </c>
      <c r="J405" s="14"/>
    </row>
    <row r="406" customFormat="false" ht="15" hidden="false" customHeight="false" outlineLevel="0" collapsed="false">
      <c r="A406" s="15"/>
      <c r="B406" s="14"/>
      <c r="C406" s="14"/>
      <c r="D406" s="14"/>
      <c r="E406" s="14"/>
      <c r="F406" s="14"/>
      <c r="G406" s="16"/>
      <c r="H406" s="12" t="str">
        <f aca="false">IF(A406="","",A406+2)</f>
        <v/>
      </c>
      <c r="I406" s="13" t="str">
        <f aca="true">IF(A406="","",IF(AND(OR(F406="New",F406="Replied",F406="Quote sent"),TODAY()&gt;=H406),"Yes",""))</f>
        <v/>
      </c>
      <c r="J406" s="14"/>
    </row>
    <row r="407" customFormat="false" ht="15" hidden="false" customHeight="false" outlineLevel="0" collapsed="false">
      <c r="A407" s="15"/>
      <c r="B407" s="14"/>
      <c r="C407" s="14"/>
      <c r="D407" s="14"/>
      <c r="E407" s="14"/>
      <c r="F407" s="14"/>
      <c r="G407" s="16"/>
      <c r="H407" s="12" t="str">
        <f aca="false">IF(A407="","",A407+2)</f>
        <v/>
      </c>
      <c r="I407" s="13" t="str">
        <f aca="true">IF(A407="","",IF(AND(OR(F407="New",F407="Replied",F407="Quote sent"),TODAY()&gt;=H407),"Yes",""))</f>
        <v/>
      </c>
      <c r="J407" s="14"/>
    </row>
    <row r="408" customFormat="false" ht="15" hidden="false" customHeight="false" outlineLevel="0" collapsed="false">
      <c r="A408" s="15"/>
      <c r="B408" s="14"/>
      <c r="C408" s="14"/>
      <c r="D408" s="14"/>
      <c r="E408" s="14"/>
      <c r="F408" s="14"/>
      <c r="G408" s="16"/>
      <c r="H408" s="12" t="str">
        <f aca="false">IF(A408="","",A408+2)</f>
        <v/>
      </c>
      <c r="I408" s="13" t="str">
        <f aca="true">IF(A408="","",IF(AND(OR(F408="New",F408="Replied",F408="Quote sent"),TODAY()&gt;=H408),"Yes",""))</f>
        <v/>
      </c>
      <c r="J408" s="14"/>
    </row>
    <row r="409" customFormat="false" ht="15" hidden="false" customHeight="false" outlineLevel="0" collapsed="false">
      <c r="A409" s="15"/>
      <c r="B409" s="14"/>
      <c r="C409" s="14"/>
      <c r="D409" s="14"/>
      <c r="E409" s="14"/>
      <c r="F409" s="14"/>
      <c r="G409" s="16"/>
      <c r="H409" s="12" t="str">
        <f aca="false">IF(A409="","",A409+2)</f>
        <v/>
      </c>
      <c r="I409" s="13" t="str">
        <f aca="true">IF(A409="","",IF(AND(OR(F409="New",F409="Replied",F409="Quote sent"),TODAY()&gt;=H409),"Yes",""))</f>
        <v/>
      </c>
      <c r="J409" s="14"/>
    </row>
    <row r="410" customFormat="false" ht="15" hidden="false" customHeight="false" outlineLevel="0" collapsed="false">
      <c r="A410" s="15"/>
      <c r="B410" s="14"/>
      <c r="C410" s="14"/>
      <c r="D410" s="14"/>
      <c r="E410" s="14"/>
      <c r="F410" s="14"/>
      <c r="G410" s="16"/>
      <c r="H410" s="12" t="str">
        <f aca="false">IF(A410="","",A410+2)</f>
        <v/>
      </c>
      <c r="I410" s="13" t="str">
        <f aca="true">IF(A410="","",IF(AND(OR(F410="New",F410="Replied",F410="Quote sent"),TODAY()&gt;=H410),"Yes",""))</f>
        <v/>
      </c>
      <c r="J410" s="14"/>
    </row>
    <row r="411" customFormat="false" ht="15" hidden="false" customHeight="false" outlineLevel="0" collapsed="false">
      <c r="A411" s="15"/>
      <c r="B411" s="14"/>
      <c r="C411" s="14"/>
      <c r="D411" s="14"/>
      <c r="E411" s="14"/>
      <c r="F411" s="14"/>
      <c r="G411" s="16"/>
      <c r="H411" s="12" t="str">
        <f aca="false">IF(A411="","",A411+2)</f>
        <v/>
      </c>
      <c r="I411" s="13" t="str">
        <f aca="true">IF(A411="","",IF(AND(OR(F411="New",F411="Replied",F411="Quote sent"),TODAY()&gt;=H411),"Yes",""))</f>
        <v/>
      </c>
      <c r="J411" s="14"/>
    </row>
    <row r="412" customFormat="false" ht="15" hidden="false" customHeight="false" outlineLevel="0" collapsed="false">
      <c r="A412" s="15"/>
      <c r="B412" s="14"/>
      <c r="C412" s="14"/>
      <c r="D412" s="14"/>
      <c r="E412" s="14"/>
      <c r="F412" s="14"/>
      <c r="G412" s="16"/>
      <c r="H412" s="12" t="str">
        <f aca="false">IF(A412="","",A412+2)</f>
        <v/>
      </c>
      <c r="I412" s="13" t="str">
        <f aca="true">IF(A412="","",IF(AND(OR(F412="New",F412="Replied",F412="Quote sent"),TODAY()&gt;=H412),"Yes",""))</f>
        <v/>
      </c>
      <c r="J412" s="14"/>
    </row>
    <row r="413" customFormat="false" ht="15" hidden="false" customHeight="false" outlineLevel="0" collapsed="false">
      <c r="A413" s="15"/>
      <c r="B413" s="14"/>
      <c r="C413" s="14"/>
      <c r="D413" s="14"/>
      <c r="E413" s="14"/>
      <c r="F413" s="14"/>
      <c r="G413" s="16"/>
      <c r="H413" s="12" t="str">
        <f aca="false">IF(A413="","",A413+2)</f>
        <v/>
      </c>
      <c r="I413" s="13" t="str">
        <f aca="true">IF(A413="","",IF(AND(OR(F413="New",F413="Replied",F413="Quote sent"),TODAY()&gt;=H413),"Yes",""))</f>
        <v/>
      </c>
      <c r="J413" s="14"/>
    </row>
    <row r="414" customFormat="false" ht="15" hidden="false" customHeight="false" outlineLevel="0" collapsed="false">
      <c r="A414" s="15"/>
      <c r="B414" s="14"/>
      <c r="C414" s="14"/>
      <c r="D414" s="14"/>
      <c r="E414" s="14"/>
      <c r="F414" s="14"/>
      <c r="G414" s="16"/>
      <c r="H414" s="12" t="str">
        <f aca="false">IF(A414="","",A414+2)</f>
        <v/>
      </c>
      <c r="I414" s="13" t="str">
        <f aca="true">IF(A414="","",IF(AND(OR(F414="New",F414="Replied",F414="Quote sent"),TODAY()&gt;=H414),"Yes",""))</f>
        <v/>
      </c>
      <c r="J414" s="14"/>
    </row>
    <row r="415" customFormat="false" ht="15" hidden="false" customHeight="false" outlineLevel="0" collapsed="false">
      <c r="A415" s="15"/>
      <c r="B415" s="14"/>
      <c r="C415" s="14"/>
      <c r="D415" s="14"/>
      <c r="E415" s="14"/>
      <c r="F415" s="14"/>
      <c r="G415" s="16"/>
      <c r="H415" s="12" t="str">
        <f aca="false">IF(A415="","",A415+2)</f>
        <v/>
      </c>
      <c r="I415" s="13" t="str">
        <f aca="true">IF(A415="","",IF(AND(OR(F415="New",F415="Replied",F415="Quote sent"),TODAY()&gt;=H415),"Yes",""))</f>
        <v/>
      </c>
      <c r="J415" s="14"/>
    </row>
    <row r="416" customFormat="false" ht="15" hidden="false" customHeight="false" outlineLevel="0" collapsed="false">
      <c r="A416" s="15"/>
      <c r="B416" s="14"/>
      <c r="C416" s="14"/>
      <c r="D416" s="14"/>
      <c r="E416" s="14"/>
      <c r="F416" s="14"/>
      <c r="G416" s="16"/>
      <c r="H416" s="12" t="str">
        <f aca="false">IF(A416="","",A416+2)</f>
        <v/>
      </c>
      <c r="I416" s="13" t="str">
        <f aca="true">IF(A416="","",IF(AND(OR(F416="New",F416="Replied",F416="Quote sent"),TODAY()&gt;=H416),"Yes",""))</f>
        <v/>
      </c>
      <c r="J416" s="14"/>
    </row>
    <row r="417" customFormat="false" ht="15" hidden="false" customHeight="false" outlineLevel="0" collapsed="false">
      <c r="A417" s="15"/>
      <c r="B417" s="14"/>
      <c r="C417" s="14"/>
      <c r="D417" s="14"/>
      <c r="E417" s="14"/>
      <c r="F417" s="14"/>
      <c r="G417" s="16"/>
      <c r="H417" s="12" t="str">
        <f aca="false">IF(A417="","",A417+2)</f>
        <v/>
      </c>
      <c r="I417" s="13" t="str">
        <f aca="true">IF(A417="","",IF(AND(OR(F417="New",F417="Replied",F417="Quote sent"),TODAY()&gt;=H417),"Yes",""))</f>
        <v/>
      </c>
      <c r="J417" s="14"/>
    </row>
    <row r="418" customFormat="false" ht="15" hidden="false" customHeight="false" outlineLevel="0" collapsed="false">
      <c r="A418" s="15"/>
      <c r="B418" s="14"/>
      <c r="C418" s="14"/>
      <c r="D418" s="14"/>
      <c r="E418" s="14"/>
      <c r="F418" s="14"/>
      <c r="G418" s="16"/>
      <c r="H418" s="12" t="str">
        <f aca="false">IF(A418="","",A418+2)</f>
        <v/>
      </c>
      <c r="I418" s="13" t="str">
        <f aca="true">IF(A418="","",IF(AND(OR(F418="New",F418="Replied",F418="Quote sent"),TODAY()&gt;=H418),"Yes",""))</f>
        <v/>
      </c>
      <c r="J418" s="14"/>
    </row>
    <row r="419" customFormat="false" ht="15" hidden="false" customHeight="false" outlineLevel="0" collapsed="false">
      <c r="A419" s="15"/>
      <c r="B419" s="14"/>
      <c r="C419" s="14"/>
      <c r="D419" s="14"/>
      <c r="E419" s="14"/>
      <c r="F419" s="14"/>
      <c r="G419" s="16"/>
      <c r="H419" s="12" t="str">
        <f aca="false">IF(A419="","",A419+2)</f>
        <v/>
      </c>
      <c r="I419" s="13" t="str">
        <f aca="true">IF(A419="","",IF(AND(OR(F419="New",F419="Replied",F419="Quote sent"),TODAY()&gt;=H419),"Yes",""))</f>
        <v/>
      </c>
      <c r="J419" s="14"/>
    </row>
    <row r="420" customFormat="false" ht="15" hidden="false" customHeight="false" outlineLevel="0" collapsed="false">
      <c r="A420" s="15"/>
      <c r="B420" s="14"/>
      <c r="C420" s="14"/>
      <c r="D420" s="14"/>
      <c r="E420" s="14"/>
      <c r="F420" s="14"/>
      <c r="G420" s="16"/>
      <c r="H420" s="12" t="str">
        <f aca="false">IF(A420="","",A420+2)</f>
        <v/>
      </c>
      <c r="I420" s="13" t="str">
        <f aca="true">IF(A420="","",IF(AND(OR(F420="New",F420="Replied",F420="Quote sent"),TODAY()&gt;=H420),"Yes",""))</f>
        <v/>
      </c>
      <c r="J420" s="14"/>
    </row>
    <row r="421" customFormat="false" ht="15" hidden="false" customHeight="false" outlineLevel="0" collapsed="false">
      <c r="A421" s="15"/>
      <c r="B421" s="14"/>
      <c r="C421" s="14"/>
      <c r="D421" s="14"/>
      <c r="E421" s="14"/>
      <c r="F421" s="14"/>
      <c r="G421" s="16"/>
      <c r="H421" s="12" t="str">
        <f aca="false">IF(A421="","",A421+2)</f>
        <v/>
      </c>
      <c r="I421" s="13" t="str">
        <f aca="true">IF(A421="","",IF(AND(OR(F421="New",F421="Replied",F421="Quote sent"),TODAY()&gt;=H421),"Yes",""))</f>
        <v/>
      </c>
      <c r="J421" s="14"/>
    </row>
    <row r="422" customFormat="false" ht="15" hidden="false" customHeight="false" outlineLevel="0" collapsed="false">
      <c r="A422" s="15"/>
      <c r="B422" s="14"/>
      <c r="C422" s="14"/>
      <c r="D422" s="14"/>
      <c r="E422" s="14"/>
      <c r="F422" s="14"/>
      <c r="G422" s="16"/>
      <c r="H422" s="12" t="str">
        <f aca="false">IF(A422="","",A422+2)</f>
        <v/>
      </c>
      <c r="I422" s="13" t="str">
        <f aca="true">IF(A422="","",IF(AND(OR(F422="New",F422="Replied",F422="Quote sent"),TODAY()&gt;=H422),"Yes",""))</f>
        <v/>
      </c>
      <c r="J422" s="14"/>
    </row>
    <row r="423" customFormat="false" ht="15" hidden="false" customHeight="false" outlineLevel="0" collapsed="false">
      <c r="A423" s="15"/>
      <c r="B423" s="14"/>
      <c r="C423" s="14"/>
      <c r="D423" s="14"/>
      <c r="E423" s="14"/>
      <c r="F423" s="14"/>
      <c r="G423" s="16"/>
      <c r="H423" s="12" t="str">
        <f aca="false">IF(A423="","",A423+2)</f>
        <v/>
      </c>
      <c r="I423" s="13" t="str">
        <f aca="true">IF(A423="","",IF(AND(OR(F423="New",F423="Replied",F423="Quote sent"),TODAY()&gt;=H423),"Yes",""))</f>
        <v/>
      </c>
      <c r="J423" s="14"/>
    </row>
    <row r="424" customFormat="false" ht="15" hidden="false" customHeight="false" outlineLevel="0" collapsed="false">
      <c r="A424" s="15"/>
      <c r="B424" s="14"/>
      <c r="C424" s="14"/>
      <c r="D424" s="14"/>
      <c r="E424" s="14"/>
      <c r="F424" s="14"/>
      <c r="G424" s="16"/>
      <c r="H424" s="12" t="str">
        <f aca="false">IF(A424="","",A424+2)</f>
        <v/>
      </c>
      <c r="I424" s="13" t="str">
        <f aca="true">IF(A424="","",IF(AND(OR(F424="New",F424="Replied",F424="Quote sent"),TODAY()&gt;=H424),"Yes",""))</f>
        <v/>
      </c>
      <c r="J424" s="14"/>
    </row>
    <row r="425" customFormat="false" ht="15" hidden="false" customHeight="false" outlineLevel="0" collapsed="false">
      <c r="A425" s="15"/>
      <c r="B425" s="14"/>
      <c r="C425" s="14"/>
      <c r="D425" s="14"/>
      <c r="E425" s="14"/>
      <c r="F425" s="14"/>
      <c r="G425" s="16"/>
      <c r="H425" s="12" t="str">
        <f aca="false">IF(A425="","",A425+2)</f>
        <v/>
      </c>
      <c r="I425" s="13" t="str">
        <f aca="true">IF(A425="","",IF(AND(OR(F425="New",F425="Replied",F425="Quote sent"),TODAY()&gt;=H425),"Yes",""))</f>
        <v/>
      </c>
      <c r="J425" s="14"/>
    </row>
    <row r="426" customFormat="false" ht="15" hidden="false" customHeight="false" outlineLevel="0" collapsed="false">
      <c r="A426" s="15"/>
      <c r="B426" s="14"/>
      <c r="C426" s="14"/>
      <c r="D426" s="14"/>
      <c r="E426" s="14"/>
      <c r="F426" s="14"/>
      <c r="G426" s="16"/>
      <c r="H426" s="12" t="str">
        <f aca="false">IF(A426="","",A426+2)</f>
        <v/>
      </c>
      <c r="I426" s="13" t="str">
        <f aca="true">IF(A426="","",IF(AND(OR(F426="New",F426="Replied",F426="Quote sent"),TODAY()&gt;=H426),"Yes",""))</f>
        <v/>
      </c>
      <c r="J426" s="14"/>
    </row>
    <row r="427" customFormat="false" ht="15" hidden="false" customHeight="false" outlineLevel="0" collapsed="false">
      <c r="A427" s="15"/>
      <c r="B427" s="14"/>
      <c r="C427" s="14"/>
      <c r="D427" s="14"/>
      <c r="E427" s="14"/>
      <c r="F427" s="14"/>
      <c r="G427" s="16"/>
      <c r="H427" s="12" t="str">
        <f aca="false">IF(A427="","",A427+2)</f>
        <v/>
      </c>
      <c r="I427" s="13" t="str">
        <f aca="true">IF(A427="","",IF(AND(OR(F427="New",F427="Replied",F427="Quote sent"),TODAY()&gt;=H427),"Yes",""))</f>
        <v/>
      </c>
      <c r="J427" s="14"/>
    </row>
    <row r="428" customFormat="false" ht="15" hidden="false" customHeight="false" outlineLevel="0" collapsed="false">
      <c r="A428" s="15"/>
      <c r="B428" s="14"/>
      <c r="C428" s="14"/>
      <c r="D428" s="14"/>
      <c r="E428" s="14"/>
      <c r="F428" s="14"/>
      <c r="G428" s="16"/>
      <c r="H428" s="12" t="str">
        <f aca="false">IF(A428="","",A428+2)</f>
        <v/>
      </c>
      <c r="I428" s="13" t="str">
        <f aca="true">IF(A428="","",IF(AND(OR(F428="New",F428="Replied",F428="Quote sent"),TODAY()&gt;=H428),"Yes",""))</f>
        <v/>
      </c>
      <c r="J428" s="14"/>
    </row>
    <row r="429" customFormat="false" ht="15" hidden="false" customHeight="false" outlineLevel="0" collapsed="false">
      <c r="A429" s="15"/>
      <c r="B429" s="14"/>
      <c r="C429" s="14"/>
      <c r="D429" s="14"/>
      <c r="E429" s="14"/>
      <c r="F429" s="14"/>
      <c r="G429" s="16"/>
      <c r="H429" s="12" t="str">
        <f aca="false">IF(A429="","",A429+2)</f>
        <v/>
      </c>
      <c r="I429" s="13" t="str">
        <f aca="true">IF(A429="","",IF(AND(OR(F429="New",F429="Replied",F429="Quote sent"),TODAY()&gt;=H429),"Yes",""))</f>
        <v/>
      </c>
      <c r="J429" s="14"/>
    </row>
    <row r="430" customFormat="false" ht="15" hidden="false" customHeight="false" outlineLevel="0" collapsed="false">
      <c r="A430" s="15"/>
      <c r="B430" s="14"/>
      <c r="C430" s="14"/>
      <c r="D430" s="14"/>
      <c r="E430" s="14"/>
      <c r="F430" s="14"/>
      <c r="G430" s="16"/>
      <c r="H430" s="12" t="str">
        <f aca="false">IF(A430="","",A430+2)</f>
        <v/>
      </c>
      <c r="I430" s="13" t="str">
        <f aca="true">IF(A430="","",IF(AND(OR(F430="New",F430="Replied",F430="Quote sent"),TODAY()&gt;=H430),"Yes",""))</f>
        <v/>
      </c>
      <c r="J430" s="14"/>
    </row>
    <row r="431" customFormat="false" ht="15" hidden="false" customHeight="false" outlineLevel="0" collapsed="false">
      <c r="A431" s="15"/>
      <c r="B431" s="14"/>
      <c r="C431" s="14"/>
      <c r="D431" s="14"/>
      <c r="E431" s="14"/>
      <c r="F431" s="14"/>
      <c r="G431" s="16"/>
      <c r="H431" s="12" t="str">
        <f aca="false">IF(A431="","",A431+2)</f>
        <v/>
      </c>
      <c r="I431" s="13" t="str">
        <f aca="true">IF(A431="","",IF(AND(OR(F431="New",F431="Replied",F431="Quote sent"),TODAY()&gt;=H431),"Yes",""))</f>
        <v/>
      </c>
      <c r="J431" s="14"/>
    </row>
    <row r="432" customFormat="false" ht="15" hidden="false" customHeight="false" outlineLevel="0" collapsed="false">
      <c r="A432" s="15"/>
      <c r="B432" s="14"/>
      <c r="C432" s="14"/>
      <c r="D432" s="14"/>
      <c r="E432" s="14"/>
      <c r="F432" s="14"/>
      <c r="G432" s="16"/>
      <c r="H432" s="12" t="str">
        <f aca="false">IF(A432="","",A432+2)</f>
        <v/>
      </c>
      <c r="I432" s="13" t="str">
        <f aca="true">IF(A432="","",IF(AND(OR(F432="New",F432="Replied",F432="Quote sent"),TODAY()&gt;=H432),"Yes",""))</f>
        <v/>
      </c>
      <c r="J432" s="14"/>
    </row>
    <row r="433" customFormat="false" ht="15" hidden="false" customHeight="false" outlineLevel="0" collapsed="false">
      <c r="A433" s="15"/>
      <c r="B433" s="14"/>
      <c r="C433" s="14"/>
      <c r="D433" s="14"/>
      <c r="E433" s="14"/>
      <c r="F433" s="14"/>
      <c r="G433" s="16"/>
      <c r="H433" s="12" t="str">
        <f aca="false">IF(A433="","",A433+2)</f>
        <v/>
      </c>
      <c r="I433" s="13" t="str">
        <f aca="true">IF(A433="","",IF(AND(OR(F433="New",F433="Replied",F433="Quote sent"),TODAY()&gt;=H433),"Yes",""))</f>
        <v/>
      </c>
      <c r="J433" s="14"/>
    </row>
    <row r="434" customFormat="false" ht="15" hidden="false" customHeight="false" outlineLevel="0" collapsed="false">
      <c r="A434" s="15"/>
      <c r="B434" s="14"/>
      <c r="C434" s="14"/>
      <c r="D434" s="14"/>
      <c r="E434" s="14"/>
      <c r="F434" s="14"/>
      <c r="G434" s="16"/>
      <c r="H434" s="12" t="str">
        <f aca="false">IF(A434="","",A434+2)</f>
        <v/>
      </c>
      <c r="I434" s="13" t="str">
        <f aca="true">IF(A434="","",IF(AND(OR(F434="New",F434="Replied",F434="Quote sent"),TODAY()&gt;=H434),"Yes",""))</f>
        <v/>
      </c>
      <c r="J434" s="14"/>
    </row>
    <row r="435" customFormat="false" ht="15" hidden="false" customHeight="false" outlineLevel="0" collapsed="false">
      <c r="A435" s="15"/>
      <c r="B435" s="14"/>
      <c r="C435" s="14"/>
      <c r="D435" s="14"/>
      <c r="E435" s="14"/>
      <c r="F435" s="14"/>
      <c r="G435" s="16"/>
      <c r="H435" s="12" t="str">
        <f aca="false">IF(A435="","",A435+2)</f>
        <v/>
      </c>
      <c r="I435" s="13" t="str">
        <f aca="true">IF(A435="","",IF(AND(OR(F435="New",F435="Replied",F435="Quote sent"),TODAY()&gt;=H435),"Yes",""))</f>
        <v/>
      </c>
      <c r="J435" s="14"/>
    </row>
    <row r="436" customFormat="false" ht="15" hidden="false" customHeight="false" outlineLevel="0" collapsed="false">
      <c r="A436" s="15"/>
      <c r="B436" s="14"/>
      <c r="C436" s="14"/>
      <c r="D436" s="14"/>
      <c r="E436" s="14"/>
      <c r="F436" s="14"/>
      <c r="G436" s="16"/>
      <c r="H436" s="12" t="str">
        <f aca="false">IF(A436="","",A436+2)</f>
        <v/>
      </c>
      <c r="I436" s="13" t="str">
        <f aca="true">IF(A436="","",IF(AND(OR(F436="New",F436="Replied",F436="Quote sent"),TODAY()&gt;=H436),"Yes",""))</f>
        <v/>
      </c>
      <c r="J436" s="14"/>
    </row>
    <row r="437" customFormat="false" ht="15" hidden="false" customHeight="false" outlineLevel="0" collapsed="false">
      <c r="A437" s="15"/>
      <c r="B437" s="14"/>
      <c r="C437" s="14"/>
      <c r="D437" s="14"/>
      <c r="E437" s="14"/>
      <c r="F437" s="14"/>
      <c r="G437" s="16"/>
      <c r="H437" s="12" t="str">
        <f aca="false">IF(A437="","",A437+2)</f>
        <v/>
      </c>
      <c r="I437" s="13" t="str">
        <f aca="true">IF(A437="","",IF(AND(OR(F437="New",F437="Replied",F437="Quote sent"),TODAY()&gt;=H437),"Yes",""))</f>
        <v/>
      </c>
      <c r="J437" s="14"/>
    </row>
    <row r="438" customFormat="false" ht="15" hidden="false" customHeight="false" outlineLevel="0" collapsed="false">
      <c r="A438" s="15"/>
      <c r="B438" s="14"/>
      <c r="C438" s="14"/>
      <c r="D438" s="14"/>
      <c r="E438" s="14"/>
      <c r="F438" s="14"/>
      <c r="G438" s="16"/>
      <c r="H438" s="12" t="str">
        <f aca="false">IF(A438="","",A438+2)</f>
        <v/>
      </c>
      <c r="I438" s="13" t="str">
        <f aca="true">IF(A438="","",IF(AND(OR(F438="New",F438="Replied",F438="Quote sent"),TODAY()&gt;=H438),"Yes",""))</f>
        <v/>
      </c>
      <c r="J438" s="14"/>
    </row>
    <row r="439" customFormat="false" ht="15" hidden="false" customHeight="false" outlineLevel="0" collapsed="false">
      <c r="A439" s="15"/>
      <c r="B439" s="14"/>
      <c r="C439" s="14"/>
      <c r="D439" s="14"/>
      <c r="E439" s="14"/>
      <c r="F439" s="14"/>
      <c r="G439" s="16"/>
      <c r="H439" s="12" t="str">
        <f aca="false">IF(A439="","",A439+2)</f>
        <v/>
      </c>
      <c r="I439" s="13" t="str">
        <f aca="true">IF(A439="","",IF(AND(OR(F439="New",F439="Replied",F439="Quote sent"),TODAY()&gt;=H439),"Yes",""))</f>
        <v/>
      </c>
      <c r="J439" s="14"/>
    </row>
    <row r="440" customFormat="false" ht="15" hidden="false" customHeight="false" outlineLevel="0" collapsed="false">
      <c r="A440" s="15"/>
      <c r="B440" s="14"/>
      <c r="C440" s="14"/>
      <c r="D440" s="14"/>
      <c r="E440" s="14"/>
      <c r="F440" s="14"/>
      <c r="G440" s="16"/>
      <c r="H440" s="12" t="str">
        <f aca="false">IF(A440="","",A440+2)</f>
        <v/>
      </c>
      <c r="I440" s="13" t="str">
        <f aca="true">IF(A440="","",IF(AND(OR(F440="New",F440="Replied",F440="Quote sent"),TODAY()&gt;=H440),"Yes",""))</f>
        <v/>
      </c>
      <c r="J440" s="14"/>
    </row>
    <row r="441" customFormat="false" ht="15" hidden="false" customHeight="false" outlineLevel="0" collapsed="false">
      <c r="A441" s="15"/>
      <c r="B441" s="14"/>
      <c r="C441" s="14"/>
      <c r="D441" s="14"/>
      <c r="E441" s="14"/>
      <c r="F441" s="14"/>
      <c r="G441" s="16"/>
      <c r="H441" s="12" t="str">
        <f aca="false">IF(A441="","",A441+2)</f>
        <v/>
      </c>
      <c r="I441" s="13" t="str">
        <f aca="true">IF(A441="","",IF(AND(OR(F441="New",F441="Replied",F441="Quote sent"),TODAY()&gt;=H441),"Yes",""))</f>
        <v/>
      </c>
      <c r="J441" s="14"/>
    </row>
    <row r="442" customFormat="false" ht="15" hidden="false" customHeight="false" outlineLevel="0" collapsed="false">
      <c r="A442" s="15"/>
      <c r="B442" s="14"/>
      <c r="C442" s="14"/>
      <c r="D442" s="14"/>
      <c r="E442" s="14"/>
      <c r="F442" s="14"/>
      <c r="G442" s="16"/>
      <c r="H442" s="12" t="str">
        <f aca="false">IF(A442="","",A442+2)</f>
        <v/>
      </c>
      <c r="I442" s="13" t="str">
        <f aca="true">IF(A442="","",IF(AND(OR(F442="New",F442="Replied",F442="Quote sent"),TODAY()&gt;=H442),"Yes",""))</f>
        <v/>
      </c>
      <c r="J442" s="14"/>
    </row>
    <row r="443" customFormat="false" ht="15" hidden="false" customHeight="false" outlineLevel="0" collapsed="false">
      <c r="A443" s="15"/>
      <c r="B443" s="14"/>
      <c r="C443" s="14"/>
      <c r="D443" s="14"/>
      <c r="E443" s="14"/>
      <c r="F443" s="14"/>
      <c r="G443" s="16"/>
      <c r="H443" s="12" t="str">
        <f aca="false">IF(A443="","",A443+2)</f>
        <v/>
      </c>
      <c r="I443" s="13" t="str">
        <f aca="true">IF(A443="","",IF(AND(OR(F443="New",F443="Replied",F443="Quote sent"),TODAY()&gt;=H443),"Yes",""))</f>
        <v/>
      </c>
      <c r="J443" s="14"/>
    </row>
    <row r="444" customFormat="false" ht="15" hidden="false" customHeight="false" outlineLevel="0" collapsed="false">
      <c r="A444" s="15"/>
      <c r="B444" s="14"/>
      <c r="C444" s="14"/>
      <c r="D444" s="14"/>
      <c r="E444" s="14"/>
      <c r="F444" s="14"/>
      <c r="G444" s="16"/>
      <c r="H444" s="12" t="str">
        <f aca="false">IF(A444="","",A444+2)</f>
        <v/>
      </c>
      <c r="I444" s="13" t="str">
        <f aca="true">IF(A444="","",IF(AND(OR(F444="New",F444="Replied",F444="Quote sent"),TODAY()&gt;=H444),"Yes",""))</f>
        <v/>
      </c>
      <c r="J444" s="14"/>
    </row>
    <row r="445" customFormat="false" ht="15" hidden="false" customHeight="false" outlineLevel="0" collapsed="false">
      <c r="A445" s="15"/>
      <c r="B445" s="14"/>
      <c r="C445" s="14"/>
      <c r="D445" s="14"/>
      <c r="E445" s="14"/>
      <c r="F445" s="14"/>
      <c r="G445" s="16"/>
      <c r="H445" s="12" t="str">
        <f aca="false">IF(A445="","",A445+2)</f>
        <v/>
      </c>
      <c r="I445" s="13" t="str">
        <f aca="true">IF(A445="","",IF(AND(OR(F445="New",F445="Replied",F445="Quote sent"),TODAY()&gt;=H445),"Yes",""))</f>
        <v/>
      </c>
      <c r="J445" s="14"/>
    </row>
    <row r="446" customFormat="false" ht="15" hidden="false" customHeight="false" outlineLevel="0" collapsed="false">
      <c r="A446" s="15"/>
      <c r="B446" s="14"/>
      <c r="C446" s="14"/>
      <c r="D446" s="14"/>
      <c r="E446" s="14"/>
      <c r="F446" s="14"/>
      <c r="G446" s="16"/>
      <c r="H446" s="12" t="str">
        <f aca="false">IF(A446="","",A446+2)</f>
        <v/>
      </c>
      <c r="I446" s="13" t="str">
        <f aca="true">IF(A446="","",IF(AND(OR(F446="New",F446="Replied",F446="Quote sent"),TODAY()&gt;=H446),"Yes",""))</f>
        <v/>
      </c>
      <c r="J446" s="14"/>
    </row>
    <row r="447" customFormat="false" ht="15" hidden="false" customHeight="false" outlineLevel="0" collapsed="false">
      <c r="A447" s="15"/>
      <c r="B447" s="14"/>
      <c r="C447" s="14"/>
      <c r="D447" s="14"/>
      <c r="E447" s="14"/>
      <c r="F447" s="14"/>
      <c r="G447" s="16"/>
      <c r="H447" s="12" t="str">
        <f aca="false">IF(A447="","",A447+2)</f>
        <v/>
      </c>
      <c r="I447" s="13" t="str">
        <f aca="true">IF(A447="","",IF(AND(OR(F447="New",F447="Replied",F447="Quote sent"),TODAY()&gt;=H447),"Yes",""))</f>
        <v/>
      </c>
      <c r="J447" s="14"/>
    </row>
    <row r="448" customFormat="false" ht="15" hidden="false" customHeight="false" outlineLevel="0" collapsed="false">
      <c r="A448" s="15"/>
      <c r="B448" s="14"/>
      <c r="C448" s="14"/>
      <c r="D448" s="14"/>
      <c r="E448" s="14"/>
      <c r="F448" s="14"/>
      <c r="G448" s="16"/>
      <c r="H448" s="12" t="str">
        <f aca="false">IF(A448="","",A448+2)</f>
        <v/>
      </c>
      <c r="I448" s="13" t="str">
        <f aca="true">IF(A448="","",IF(AND(OR(F448="New",F448="Replied",F448="Quote sent"),TODAY()&gt;=H448),"Yes",""))</f>
        <v/>
      </c>
      <c r="J448" s="14"/>
    </row>
    <row r="449" customFormat="false" ht="15" hidden="false" customHeight="false" outlineLevel="0" collapsed="false">
      <c r="A449" s="15"/>
      <c r="B449" s="14"/>
      <c r="C449" s="14"/>
      <c r="D449" s="14"/>
      <c r="E449" s="14"/>
      <c r="F449" s="14"/>
      <c r="G449" s="16"/>
      <c r="H449" s="12" t="str">
        <f aca="false">IF(A449="","",A449+2)</f>
        <v/>
      </c>
      <c r="I449" s="13" t="str">
        <f aca="true">IF(A449="","",IF(AND(OR(F449="New",F449="Replied",F449="Quote sent"),TODAY()&gt;=H449),"Yes",""))</f>
        <v/>
      </c>
      <c r="J449" s="14"/>
    </row>
    <row r="450" customFormat="false" ht="15" hidden="false" customHeight="false" outlineLevel="0" collapsed="false">
      <c r="A450" s="15"/>
      <c r="B450" s="14"/>
      <c r="C450" s="14"/>
      <c r="D450" s="14"/>
      <c r="E450" s="14"/>
      <c r="F450" s="14"/>
      <c r="G450" s="16"/>
      <c r="H450" s="12" t="str">
        <f aca="false">IF(A450="","",A450+2)</f>
        <v/>
      </c>
      <c r="I450" s="13" t="str">
        <f aca="true">IF(A450="","",IF(AND(OR(F450="New",F450="Replied",F450="Quote sent"),TODAY()&gt;=H450),"Yes",""))</f>
        <v/>
      </c>
      <c r="J450" s="14"/>
    </row>
    <row r="451" customFormat="false" ht="15" hidden="false" customHeight="false" outlineLevel="0" collapsed="false">
      <c r="A451" s="15"/>
      <c r="B451" s="14"/>
      <c r="C451" s="14"/>
      <c r="D451" s="14"/>
      <c r="E451" s="14"/>
      <c r="F451" s="14"/>
      <c r="G451" s="16"/>
      <c r="H451" s="12" t="str">
        <f aca="false">IF(A451="","",A451+2)</f>
        <v/>
      </c>
      <c r="I451" s="13" t="str">
        <f aca="true">IF(A451="","",IF(AND(OR(F451="New",F451="Replied",F451="Quote sent"),TODAY()&gt;=H451),"Yes",""))</f>
        <v/>
      </c>
      <c r="J451" s="14"/>
    </row>
    <row r="452" customFormat="false" ht="15" hidden="false" customHeight="false" outlineLevel="0" collapsed="false">
      <c r="A452" s="15"/>
      <c r="B452" s="14"/>
      <c r="C452" s="14"/>
      <c r="D452" s="14"/>
      <c r="E452" s="14"/>
      <c r="F452" s="14"/>
      <c r="G452" s="16"/>
      <c r="H452" s="12" t="str">
        <f aca="false">IF(A452="","",A452+2)</f>
        <v/>
      </c>
      <c r="I452" s="13" t="str">
        <f aca="true">IF(A452="","",IF(AND(OR(F452="New",F452="Replied",F452="Quote sent"),TODAY()&gt;=H452),"Yes",""))</f>
        <v/>
      </c>
      <c r="J452" s="14"/>
    </row>
    <row r="453" customFormat="false" ht="15" hidden="false" customHeight="false" outlineLevel="0" collapsed="false">
      <c r="A453" s="15"/>
      <c r="B453" s="14"/>
      <c r="C453" s="14"/>
      <c r="D453" s="14"/>
      <c r="E453" s="14"/>
      <c r="F453" s="14"/>
      <c r="G453" s="16"/>
      <c r="H453" s="12" t="str">
        <f aca="false">IF(A453="","",A453+2)</f>
        <v/>
      </c>
      <c r="I453" s="13" t="str">
        <f aca="true">IF(A453="","",IF(AND(OR(F453="New",F453="Replied",F453="Quote sent"),TODAY()&gt;=H453),"Yes",""))</f>
        <v/>
      </c>
      <c r="J453" s="14"/>
    </row>
    <row r="454" customFormat="false" ht="15" hidden="false" customHeight="false" outlineLevel="0" collapsed="false">
      <c r="A454" s="15"/>
      <c r="B454" s="14"/>
      <c r="C454" s="14"/>
      <c r="D454" s="14"/>
      <c r="E454" s="14"/>
      <c r="F454" s="14"/>
      <c r="G454" s="16"/>
      <c r="H454" s="12" t="str">
        <f aca="false">IF(A454="","",A454+2)</f>
        <v/>
      </c>
      <c r="I454" s="13" t="str">
        <f aca="true">IF(A454="","",IF(AND(OR(F454="New",F454="Replied",F454="Quote sent"),TODAY()&gt;=H454),"Yes",""))</f>
        <v/>
      </c>
      <c r="J454" s="14"/>
    </row>
    <row r="455" customFormat="false" ht="15" hidden="false" customHeight="false" outlineLevel="0" collapsed="false">
      <c r="A455" s="15"/>
      <c r="B455" s="14"/>
      <c r="C455" s="14"/>
      <c r="D455" s="14"/>
      <c r="E455" s="14"/>
      <c r="F455" s="14"/>
      <c r="G455" s="16"/>
      <c r="H455" s="12" t="str">
        <f aca="false">IF(A455="","",A455+2)</f>
        <v/>
      </c>
      <c r="I455" s="13" t="str">
        <f aca="true">IF(A455="","",IF(AND(OR(F455="New",F455="Replied",F455="Quote sent"),TODAY()&gt;=H455),"Yes",""))</f>
        <v/>
      </c>
      <c r="J455" s="14"/>
    </row>
    <row r="456" customFormat="false" ht="15" hidden="false" customHeight="false" outlineLevel="0" collapsed="false">
      <c r="A456" s="15"/>
      <c r="B456" s="14"/>
      <c r="C456" s="14"/>
      <c r="D456" s="14"/>
      <c r="E456" s="14"/>
      <c r="F456" s="14"/>
      <c r="G456" s="16"/>
      <c r="H456" s="12" t="str">
        <f aca="false">IF(A456="","",A456+2)</f>
        <v/>
      </c>
      <c r="I456" s="13" t="str">
        <f aca="true">IF(A456="","",IF(AND(OR(F456="New",F456="Replied",F456="Quote sent"),TODAY()&gt;=H456),"Yes",""))</f>
        <v/>
      </c>
      <c r="J456" s="14"/>
    </row>
    <row r="457" customFormat="false" ht="15" hidden="false" customHeight="false" outlineLevel="0" collapsed="false">
      <c r="A457" s="15"/>
      <c r="B457" s="14"/>
      <c r="C457" s="14"/>
      <c r="D457" s="14"/>
      <c r="E457" s="14"/>
      <c r="F457" s="14"/>
      <c r="G457" s="16"/>
      <c r="H457" s="12" t="str">
        <f aca="false">IF(A457="","",A457+2)</f>
        <v/>
      </c>
      <c r="I457" s="13" t="str">
        <f aca="true">IF(A457="","",IF(AND(OR(F457="New",F457="Replied",F457="Quote sent"),TODAY()&gt;=H457),"Yes",""))</f>
        <v/>
      </c>
      <c r="J457" s="14"/>
    </row>
    <row r="458" customFormat="false" ht="15" hidden="false" customHeight="false" outlineLevel="0" collapsed="false">
      <c r="A458" s="15"/>
      <c r="B458" s="14"/>
      <c r="C458" s="14"/>
      <c r="D458" s="14"/>
      <c r="E458" s="14"/>
      <c r="F458" s="14"/>
      <c r="G458" s="16"/>
      <c r="H458" s="12" t="str">
        <f aca="false">IF(A458="","",A458+2)</f>
        <v/>
      </c>
      <c r="I458" s="13" t="str">
        <f aca="true">IF(A458="","",IF(AND(OR(F458="New",F458="Replied",F458="Quote sent"),TODAY()&gt;=H458),"Yes",""))</f>
        <v/>
      </c>
      <c r="J458" s="14"/>
    </row>
    <row r="459" customFormat="false" ht="15" hidden="false" customHeight="false" outlineLevel="0" collapsed="false">
      <c r="A459" s="15"/>
      <c r="B459" s="14"/>
      <c r="C459" s="14"/>
      <c r="D459" s="14"/>
      <c r="E459" s="14"/>
      <c r="F459" s="14"/>
      <c r="G459" s="16"/>
      <c r="H459" s="12" t="str">
        <f aca="false">IF(A459="","",A459+2)</f>
        <v/>
      </c>
      <c r="I459" s="13" t="str">
        <f aca="true">IF(A459="","",IF(AND(OR(F459="New",F459="Replied",F459="Quote sent"),TODAY()&gt;=H459),"Yes",""))</f>
        <v/>
      </c>
      <c r="J459" s="14"/>
    </row>
    <row r="460" customFormat="false" ht="15" hidden="false" customHeight="false" outlineLevel="0" collapsed="false">
      <c r="A460" s="15"/>
      <c r="B460" s="14"/>
      <c r="C460" s="14"/>
      <c r="D460" s="14"/>
      <c r="E460" s="14"/>
      <c r="F460" s="14"/>
      <c r="G460" s="16"/>
      <c r="H460" s="12" t="str">
        <f aca="false">IF(A460="","",A460+2)</f>
        <v/>
      </c>
      <c r="I460" s="13" t="str">
        <f aca="true">IF(A460="","",IF(AND(OR(F460="New",F460="Replied",F460="Quote sent"),TODAY()&gt;=H460),"Yes",""))</f>
        <v/>
      </c>
      <c r="J460" s="14"/>
    </row>
    <row r="461" customFormat="false" ht="15" hidden="false" customHeight="false" outlineLevel="0" collapsed="false">
      <c r="A461" s="15"/>
      <c r="B461" s="14"/>
      <c r="C461" s="14"/>
      <c r="D461" s="14"/>
      <c r="E461" s="14"/>
      <c r="F461" s="14"/>
      <c r="G461" s="16"/>
      <c r="H461" s="12" t="str">
        <f aca="false">IF(A461="","",A461+2)</f>
        <v/>
      </c>
      <c r="I461" s="13" t="str">
        <f aca="true">IF(A461="","",IF(AND(OR(F461="New",F461="Replied",F461="Quote sent"),TODAY()&gt;=H461),"Yes",""))</f>
        <v/>
      </c>
      <c r="J461" s="14"/>
    </row>
    <row r="462" customFormat="false" ht="15" hidden="false" customHeight="false" outlineLevel="0" collapsed="false">
      <c r="A462" s="15"/>
      <c r="B462" s="14"/>
      <c r="C462" s="14"/>
      <c r="D462" s="14"/>
      <c r="E462" s="14"/>
      <c r="F462" s="14"/>
      <c r="G462" s="16"/>
      <c r="H462" s="12" t="str">
        <f aca="false">IF(A462="","",A462+2)</f>
        <v/>
      </c>
      <c r="I462" s="13" t="str">
        <f aca="true">IF(A462="","",IF(AND(OR(F462="New",F462="Replied",F462="Quote sent"),TODAY()&gt;=H462),"Yes",""))</f>
        <v/>
      </c>
      <c r="J462" s="14"/>
    </row>
    <row r="463" customFormat="false" ht="15" hidden="false" customHeight="false" outlineLevel="0" collapsed="false">
      <c r="A463" s="15"/>
      <c r="B463" s="14"/>
      <c r="C463" s="14"/>
      <c r="D463" s="14"/>
      <c r="E463" s="14"/>
      <c r="F463" s="14"/>
      <c r="G463" s="16"/>
      <c r="H463" s="12" t="str">
        <f aca="false">IF(A463="","",A463+2)</f>
        <v/>
      </c>
      <c r="I463" s="13" t="str">
        <f aca="true">IF(A463="","",IF(AND(OR(F463="New",F463="Replied",F463="Quote sent"),TODAY()&gt;=H463),"Yes",""))</f>
        <v/>
      </c>
      <c r="J463" s="14"/>
    </row>
    <row r="464" customFormat="false" ht="15" hidden="false" customHeight="false" outlineLevel="0" collapsed="false">
      <c r="A464" s="15"/>
      <c r="B464" s="14"/>
      <c r="C464" s="14"/>
      <c r="D464" s="14"/>
      <c r="E464" s="14"/>
      <c r="F464" s="14"/>
      <c r="G464" s="16"/>
      <c r="H464" s="12" t="str">
        <f aca="false">IF(A464="","",A464+2)</f>
        <v/>
      </c>
      <c r="I464" s="13" t="str">
        <f aca="true">IF(A464="","",IF(AND(OR(F464="New",F464="Replied",F464="Quote sent"),TODAY()&gt;=H464),"Yes",""))</f>
        <v/>
      </c>
      <c r="J464" s="14"/>
    </row>
    <row r="465" customFormat="false" ht="15" hidden="false" customHeight="false" outlineLevel="0" collapsed="false">
      <c r="A465" s="15"/>
      <c r="B465" s="14"/>
      <c r="C465" s="14"/>
      <c r="D465" s="14"/>
      <c r="E465" s="14"/>
      <c r="F465" s="14"/>
      <c r="G465" s="16"/>
      <c r="H465" s="12" t="str">
        <f aca="false">IF(A465="","",A465+2)</f>
        <v/>
      </c>
      <c r="I465" s="13" t="str">
        <f aca="true">IF(A465="","",IF(AND(OR(F465="New",F465="Replied",F465="Quote sent"),TODAY()&gt;=H465),"Yes",""))</f>
        <v/>
      </c>
      <c r="J465" s="14"/>
    </row>
    <row r="466" customFormat="false" ht="15" hidden="false" customHeight="false" outlineLevel="0" collapsed="false">
      <c r="A466" s="15"/>
      <c r="B466" s="14"/>
      <c r="C466" s="14"/>
      <c r="D466" s="14"/>
      <c r="E466" s="14"/>
      <c r="F466" s="14"/>
      <c r="G466" s="16"/>
      <c r="H466" s="12" t="str">
        <f aca="false">IF(A466="","",A466+2)</f>
        <v/>
      </c>
      <c r="I466" s="13" t="str">
        <f aca="true">IF(A466="","",IF(AND(OR(F466="New",F466="Replied",F466="Quote sent"),TODAY()&gt;=H466),"Yes",""))</f>
        <v/>
      </c>
      <c r="J466" s="14"/>
    </row>
    <row r="467" customFormat="false" ht="15" hidden="false" customHeight="false" outlineLevel="0" collapsed="false">
      <c r="A467" s="15"/>
      <c r="B467" s="14"/>
      <c r="C467" s="14"/>
      <c r="D467" s="14"/>
      <c r="E467" s="14"/>
      <c r="F467" s="14"/>
      <c r="G467" s="16"/>
      <c r="H467" s="12" t="str">
        <f aca="false">IF(A467="","",A467+2)</f>
        <v/>
      </c>
      <c r="I467" s="13" t="str">
        <f aca="true">IF(A467="","",IF(AND(OR(F467="New",F467="Replied",F467="Quote sent"),TODAY()&gt;=H467),"Yes",""))</f>
        <v/>
      </c>
      <c r="J467" s="14"/>
    </row>
    <row r="468" customFormat="false" ht="15" hidden="false" customHeight="false" outlineLevel="0" collapsed="false">
      <c r="A468" s="15"/>
      <c r="B468" s="14"/>
      <c r="C468" s="14"/>
      <c r="D468" s="14"/>
      <c r="E468" s="14"/>
      <c r="F468" s="14"/>
      <c r="G468" s="16"/>
      <c r="H468" s="12" t="str">
        <f aca="false">IF(A468="","",A468+2)</f>
        <v/>
      </c>
      <c r="I468" s="13" t="str">
        <f aca="true">IF(A468="","",IF(AND(OR(F468="New",F468="Replied",F468="Quote sent"),TODAY()&gt;=H468),"Yes",""))</f>
        <v/>
      </c>
      <c r="J468" s="14"/>
    </row>
    <row r="469" customFormat="false" ht="15" hidden="false" customHeight="false" outlineLevel="0" collapsed="false">
      <c r="A469" s="15"/>
      <c r="B469" s="14"/>
      <c r="C469" s="14"/>
      <c r="D469" s="14"/>
      <c r="E469" s="14"/>
      <c r="F469" s="14"/>
      <c r="G469" s="16"/>
      <c r="H469" s="12" t="str">
        <f aca="false">IF(A469="","",A469+2)</f>
        <v/>
      </c>
      <c r="I469" s="13" t="str">
        <f aca="true">IF(A469="","",IF(AND(OR(F469="New",F469="Replied",F469="Quote sent"),TODAY()&gt;=H469),"Yes",""))</f>
        <v/>
      </c>
      <c r="J469" s="14"/>
    </row>
    <row r="470" customFormat="false" ht="15" hidden="false" customHeight="false" outlineLevel="0" collapsed="false">
      <c r="A470" s="15"/>
      <c r="B470" s="14"/>
      <c r="C470" s="14"/>
      <c r="D470" s="14"/>
      <c r="E470" s="14"/>
      <c r="F470" s="14"/>
      <c r="G470" s="16"/>
      <c r="H470" s="12" t="str">
        <f aca="false">IF(A470="","",A470+2)</f>
        <v/>
      </c>
      <c r="I470" s="13" t="str">
        <f aca="true">IF(A470="","",IF(AND(OR(F470="New",F470="Replied",F470="Quote sent"),TODAY()&gt;=H470),"Yes",""))</f>
        <v/>
      </c>
      <c r="J470" s="14"/>
    </row>
    <row r="471" customFormat="false" ht="15" hidden="false" customHeight="false" outlineLevel="0" collapsed="false">
      <c r="A471" s="15"/>
      <c r="B471" s="14"/>
      <c r="C471" s="14"/>
      <c r="D471" s="14"/>
      <c r="E471" s="14"/>
      <c r="F471" s="14"/>
      <c r="G471" s="16"/>
      <c r="H471" s="12" t="str">
        <f aca="false">IF(A471="","",A471+2)</f>
        <v/>
      </c>
      <c r="I471" s="13" t="str">
        <f aca="true">IF(A471="","",IF(AND(OR(F471="New",F471="Replied",F471="Quote sent"),TODAY()&gt;=H471),"Yes",""))</f>
        <v/>
      </c>
      <c r="J471" s="14"/>
    </row>
    <row r="472" customFormat="false" ht="15" hidden="false" customHeight="false" outlineLevel="0" collapsed="false">
      <c r="A472" s="15"/>
      <c r="B472" s="14"/>
      <c r="C472" s="14"/>
      <c r="D472" s="14"/>
      <c r="E472" s="14"/>
      <c r="F472" s="14"/>
      <c r="G472" s="16"/>
      <c r="H472" s="12" t="str">
        <f aca="false">IF(A472="","",A472+2)</f>
        <v/>
      </c>
      <c r="I472" s="13" t="str">
        <f aca="true">IF(A472="","",IF(AND(OR(F472="New",F472="Replied",F472="Quote sent"),TODAY()&gt;=H472),"Yes",""))</f>
        <v/>
      </c>
      <c r="J472" s="14"/>
    </row>
    <row r="473" customFormat="false" ht="15" hidden="false" customHeight="false" outlineLevel="0" collapsed="false">
      <c r="A473" s="15"/>
      <c r="B473" s="14"/>
      <c r="C473" s="14"/>
      <c r="D473" s="14"/>
      <c r="E473" s="14"/>
      <c r="F473" s="14"/>
      <c r="G473" s="16"/>
      <c r="H473" s="12" t="str">
        <f aca="false">IF(A473="","",A473+2)</f>
        <v/>
      </c>
      <c r="I473" s="13" t="str">
        <f aca="true">IF(A473="","",IF(AND(OR(F473="New",F473="Replied",F473="Quote sent"),TODAY()&gt;=H473),"Yes",""))</f>
        <v/>
      </c>
      <c r="J473" s="14"/>
    </row>
    <row r="474" customFormat="false" ht="15" hidden="false" customHeight="false" outlineLevel="0" collapsed="false">
      <c r="A474" s="15"/>
      <c r="B474" s="14"/>
      <c r="C474" s="14"/>
      <c r="D474" s="14"/>
      <c r="E474" s="14"/>
      <c r="F474" s="14"/>
      <c r="G474" s="16"/>
      <c r="H474" s="12" t="str">
        <f aca="false">IF(A474="","",A474+2)</f>
        <v/>
      </c>
      <c r="I474" s="13" t="str">
        <f aca="true">IF(A474="","",IF(AND(OR(F474="New",F474="Replied",F474="Quote sent"),TODAY()&gt;=H474),"Yes",""))</f>
        <v/>
      </c>
      <c r="J474" s="14"/>
    </row>
    <row r="475" customFormat="false" ht="15" hidden="false" customHeight="false" outlineLevel="0" collapsed="false">
      <c r="A475" s="15"/>
      <c r="B475" s="14"/>
      <c r="C475" s="14"/>
      <c r="D475" s="14"/>
      <c r="E475" s="14"/>
      <c r="F475" s="14"/>
      <c r="G475" s="16"/>
      <c r="H475" s="12" t="str">
        <f aca="false">IF(A475="","",A475+2)</f>
        <v/>
      </c>
      <c r="I475" s="13" t="str">
        <f aca="true">IF(A475="","",IF(AND(OR(F475="New",F475="Replied",F475="Quote sent"),TODAY()&gt;=H475),"Yes",""))</f>
        <v/>
      </c>
      <c r="J475" s="14"/>
    </row>
    <row r="476" customFormat="false" ht="15" hidden="false" customHeight="false" outlineLevel="0" collapsed="false">
      <c r="A476" s="15"/>
      <c r="B476" s="14"/>
      <c r="C476" s="14"/>
      <c r="D476" s="14"/>
      <c r="E476" s="14"/>
      <c r="F476" s="14"/>
      <c r="G476" s="16"/>
      <c r="H476" s="12" t="str">
        <f aca="false">IF(A476="","",A476+2)</f>
        <v/>
      </c>
      <c r="I476" s="13" t="str">
        <f aca="true">IF(A476="","",IF(AND(OR(F476="New",F476="Replied",F476="Quote sent"),TODAY()&gt;=H476),"Yes",""))</f>
        <v/>
      </c>
      <c r="J476" s="14"/>
    </row>
    <row r="477" customFormat="false" ht="15" hidden="false" customHeight="false" outlineLevel="0" collapsed="false">
      <c r="A477" s="15"/>
      <c r="B477" s="14"/>
      <c r="C477" s="14"/>
      <c r="D477" s="14"/>
      <c r="E477" s="14"/>
      <c r="F477" s="14"/>
      <c r="G477" s="16"/>
      <c r="H477" s="12" t="str">
        <f aca="false">IF(A477="","",A477+2)</f>
        <v/>
      </c>
      <c r="I477" s="13" t="str">
        <f aca="true">IF(A477="","",IF(AND(OR(F477="New",F477="Replied",F477="Quote sent"),TODAY()&gt;=H477),"Yes",""))</f>
        <v/>
      </c>
      <c r="J477" s="14"/>
    </row>
    <row r="478" customFormat="false" ht="15" hidden="false" customHeight="false" outlineLevel="0" collapsed="false">
      <c r="A478" s="15"/>
      <c r="B478" s="14"/>
      <c r="C478" s="14"/>
      <c r="D478" s="14"/>
      <c r="E478" s="14"/>
      <c r="F478" s="14"/>
      <c r="G478" s="16"/>
      <c r="H478" s="12" t="str">
        <f aca="false">IF(A478="","",A478+2)</f>
        <v/>
      </c>
      <c r="I478" s="13" t="str">
        <f aca="true">IF(A478="","",IF(AND(OR(F478="New",F478="Replied",F478="Quote sent"),TODAY()&gt;=H478),"Yes",""))</f>
        <v/>
      </c>
      <c r="J478" s="14"/>
    </row>
    <row r="479" customFormat="false" ht="15" hidden="false" customHeight="false" outlineLevel="0" collapsed="false">
      <c r="A479" s="15"/>
      <c r="B479" s="14"/>
      <c r="C479" s="14"/>
      <c r="D479" s="14"/>
      <c r="E479" s="14"/>
      <c r="F479" s="14"/>
      <c r="G479" s="16"/>
      <c r="H479" s="12" t="str">
        <f aca="false">IF(A479="","",A479+2)</f>
        <v/>
      </c>
      <c r="I479" s="13" t="str">
        <f aca="true">IF(A479="","",IF(AND(OR(F479="New",F479="Replied",F479="Quote sent"),TODAY()&gt;=H479),"Yes",""))</f>
        <v/>
      </c>
      <c r="J479" s="14"/>
    </row>
    <row r="480" customFormat="false" ht="15" hidden="false" customHeight="false" outlineLevel="0" collapsed="false">
      <c r="A480" s="15"/>
      <c r="B480" s="14"/>
      <c r="C480" s="14"/>
      <c r="D480" s="14"/>
      <c r="E480" s="14"/>
      <c r="F480" s="14"/>
      <c r="G480" s="16"/>
      <c r="H480" s="12" t="str">
        <f aca="false">IF(A480="","",A480+2)</f>
        <v/>
      </c>
      <c r="I480" s="13" t="str">
        <f aca="true">IF(A480="","",IF(AND(OR(F480="New",F480="Replied",F480="Quote sent"),TODAY()&gt;=H480),"Yes",""))</f>
        <v/>
      </c>
      <c r="J480" s="14"/>
    </row>
    <row r="481" customFormat="false" ht="15" hidden="false" customHeight="false" outlineLevel="0" collapsed="false">
      <c r="A481" s="15"/>
      <c r="B481" s="14"/>
      <c r="C481" s="14"/>
      <c r="D481" s="14"/>
      <c r="E481" s="14"/>
      <c r="F481" s="14"/>
      <c r="G481" s="16"/>
      <c r="H481" s="12" t="str">
        <f aca="false">IF(A481="","",A481+2)</f>
        <v/>
      </c>
      <c r="I481" s="13" t="str">
        <f aca="true">IF(A481="","",IF(AND(OR(F481="New",F481="Replied",F481="Quote sent"),TODAY()&gt;=H481),"Yes",""))</f>
        <v/>
      </c>
      <c r="J481" s="14"/>
    </row>
    <row r="482" customFormat="false" ht="15" hidden="false" customHeight="false" outlineLevel="0" collapsed="false">
      <c r="A482" s="15"/>
      <c r="B482" s="14"/>
      <c r="C482" s="14"/>
      <c r="D482" s="14"/>
      <c r="E482" s="14"/>
      <c r="F482" s="14"/>
      <c r="G482" s="16"/>
      <c r="H482" s="12" t="str">
        <f aca="false">IF(A482="","",A482+2)</f>
        <v/>
      </c>
      <c r="I482" s="13" t="str">
        <f aca="true">IF(A482="","",IF(AND(OR(F482="New",F482="Replied",F482="Quote sent"),TODAY()&gt;=H482),"Yes",""))</f>
        <v/>
      </c>
      <c r="J482" s="14"/>
    </row>
    <row r="483" customFormat="false" ht="15" hidden="false" customHeight="false" outlineLevel="0" collapsed="false">
      <c r="A483" s="15"/>
      <c r="B483" s="14"/>
      <c r="C483" s="14"/>
      <c r="D483" s="14"/>
      <c r="E483" s="14"/>
      <c r="F483" s="14"/>
      <c r="G483" s="16"/>
      <c r="H483" s="12" t="str">
        <f aca="false">IF(A483="","",A483+2)</f>
        <v/>
      </c>
      <c r="I483" s="13" t="str">
        <f aca="true">IF(A483="","",IF(AND(OR(F483="New",F483="Replied",F483="Quote sent"),TODAY()&gt;=H483),"Yes",""))</f>
        <v/>
      </c>
      <c r="J483" s="14"/>
    </row>
    <row r="484" customFormat="false" ht="15" hidden="false" customHeight="false" outlineLevel="0" collapsed="false">
      <c r="A484" s="15"/>
      <c r="B484" s="14"/>
      <c r="C484" s="14"/>
      <c r="D484" s="14"/>
      <c r="E484" s="14"/>
      <c r="F484" s="14"/>
      <c r="G484" s="16"/>
      <c r="H484" s="12" t="str">
        <f aca="false">IF(A484="","",A484+2)</f>
        <v/>
      </c>
      <c r="I484" s="13" t="str">
        <f aca="true">IF(A484="","",IF(AND(OR(F484="New",F484="Replied",F484="Quote sent"),TODAY()&gt;=H484),"Yes",""))</f>
        <v/>
      </c>
      <c r="J484" s="14"/>
    </row>
    <row r="485" customFormat="false" ht="15" hidden="false" customHeight="false" outlineLevel="0" collapsed="false">
      <c r="A485" s="15"/>
      <c r="B485" s="14"/>
      <c r="C485" s="14"/>
      <c r="D485" s="14"/>
      <c r="E485" s="14"/>
      <c r="F485" s="14"/>
      <c r="G485" s="16"/>
      <c r="H485" s="12" t="str">
        <f aca="false">IF(A485="","",A485+2)</f>
        <v/>
      </c>
      <c r="I485" s="13" t="str">
        <f aca="true">IF(A485="","",IF(AND(OR(F485="New",F485="Replied",F485="Quote sent"),TODAY()&gt;=H485),"Yes",""))</f>
        <v/>
      </c>
      <c r="J485" s="14"/>
    </row>
    <row r="486" customFormat="false" ht="15" hidden="false" customHeight="false" outlineLevel="0" collapsed="false">
      <c r="A486" s="15"/>
      <c r="B486" s="14"/>
      <c r="C486" s="14"/>
      <c r="D486" s="14"/>
      <c r="E486" s="14"/>
      <c r="F486" s="14"/>
      <c r="G486" s="16"/>
      <c r="H486" s="12" t="str">
        <f aca="false">IF(A486="","",A486+2)</f>
        <v/>
      </c>
      <c r="I486" s="13" t="str">
        <f aca="true">IF(A486="","",IF(AND(OR(F486="New",F486="Replied",F486="Quote sent"),TODAY()&gt;=H486),"Yes",""))</f>
        <v/>
      </c>
      <c r="J486" s="14"/>
    </row>
    <row r="487" customFormat="false" ht="15" hidden="false" customHeight="false" outlineLevel="0" collapsed="false">
      <c r="A487" s="15"/>
      <c r="B487" s="14"/>
      <c r="C487" s="14"/>
      <c r="D487" s="14"/>
      <c r="E487" s="14"/>
      <c r="F487" s="14"/>
      <c r="G487" s="16"/>
      <c r="H487" s="12" t="str">
        <f aca="false">IF(A487="","",A487+2)</f>
        <v/>
      </c>
      <c r="I487" s="13" t="str">
        <f aca="true">IF(A487="","",IF(AND(OR(F487="New",F487="Replied",F487="Quote sent"),TODAY()&gt;=H487),"Yes",""))</f>
        <v/>
      </c>
      <c r="J487" s="14"/>
    </row>
    <row r="488" customFormat="false" ht="15" hidden="false" customHeight="false" outlineLevel="0" collapsed="false">
      <c r="A488" s="15"/>
      <c r="B488" s="14"/>
      <c r="C488" s="14"/>
      <c r="D488" s="14"/>
      <c r="E488" s="14"/>
      <c r="F488" s="14"/>
      <c r="G488" s="16"/>
      <c r="H488" s="12" t="str">
        <f aca="false">IF(A488="","",A488+2)</f>
        <v/>
      </c>
      <c r="I488" s="13" t="str">
        <f aca="true">IF(A488="","",IF(AND(OR(F488="New",F488="Replied",F488="Quote sent"),TODAY()&gt;=H488),"Yes",""))</f>
        <v/>
      </c>
      <c r="J488" s="14"/>
    </row>
    <row r="489" customFormat="false" ht="15" hidden="false" customHeight="false" outlineLevel="0" collapsed="false">
      <c r="A489" s="15"/>
      <c r="B489" s="14"/>
      <c r="C489" s="14"/>
      <c r="D489" s="14"/>
      <c r="E489" s="14"/>
      <c r="F489" s="14"/>
      <c r="G489" s="16"/>
      <c r="H489" s="12" t="str">
        <f aca="false">IF(A489="","",A489+2)</f>
        <v/>
      </c>
      <c r="I489" s="13" t="str">
        <f aca="true">IF(A489="","",IF(AND(OR(F489="New",F489="Replied",F489="Quote sent"),TODAY()&gt;=H489),"Yes",""))</f>
        <v/>
      </c>
      <c r="J489" s="14"/>
    </row>
    <row r="490" customFormat="false" ht="15" hidden="false" customHeight="false" outlineLevel="0" collapsed="false">
      <c r="A490" s="15"/>
      <c r="B490" s="14"/>
      <c r="C490" s="14"/>
      <c r="D490" s="14"/>
      <c r="E490" s="14"/>
      <c r="F490" s="14"/>
      <c r="G490" s="16"/>
      <c r="H490" s="12" t="str">
        <f aca="false">IF(A490="","",A490+2)</f>
        <v/>
      </c>
      <c r="I490" s="13" t="str">
        <f aca="true">IF(A490="","",IF(AND(OR(F490="New",F490="Replied",F490="Quote sent"),TODAY()&gt;=H490),"Yes",""))</f>
        <v/>
      </c>
      <c r="J490" s="14"/>
    </row>
    <row r="491" customFormat="false" ht="15" hidden="false" customHeight="false" outlineLevel="0" collapsed="false">
      <c r="A491" s="15"/>
      <c r="B491" s="14"/>
      <c r="C491" s="14"/>
      <c r="D491" s="14"/>
      <c r="E491" s="14"/>
      <c r="F491" s="14"/>
      <c r="G491" s="16"/>
      <c r="H491" s="12" t="str">
        <f aca="false">IF(A491="","",A491+2)</f>
        <v/>
      </c>
      <c r="I491" s="13" t="str">
        <f aca="true">IF(A491="","",IF(AND(OR(F491="New",F491="Replied",F491="Quote sent"),TODAY()&gt;=H491),"Yes",""))</f>
        <v/>
      </c>
      <c r="J491" s="14"/>
    </row>
    <row r="492" customFormat="false" ht="15" hidden="false" customHeight="false" outlineLevel="0" collapsed="false">
      <c r="A492" s="15"/>
      <c r="B492" s="14"/>
      <c r="C492" s="14"/>
      <c r="D492" s="14"/>
      <c r="E492" s="14"/>
      <c r="F492" s="14"/>
      <c r="G492" s="16"/>
      <c r="H492" s="12" t="str">
        <f aca="false">IF(A492="","",A492+2)</f>
        <v/>
      </c>
      <c r="I492" s="13" t="str">
        <f aca="true">IF(A492="","",IF(AND(OR(F492="New",F492="Replied",F492="Quote sent"),TODAY()&gt;=H492),"Yes",""))</f>
        <v/>
      </c>
      <c r="J492" s="14"/>
    </row>
    <row r="493" customFormat="false" ht="15" hidden="false" customHeight="false" outlineLevel="0" collapsed="false">
      <c r="A493" s="15"/>
      <c r="B493" s="14"/>
      <c r="C493" s="14"/>
      <c r="D493" s="14"/>
      <c r="E493" s="14"/>
      <c r="F493" s="14"/>
      <c r="G493" s="16"/>
      <c r="H493" s="12" t="str">
        <f aca="false">IF(A493="","",A493+2)</f>
        <v/>
      </c>
      <c r="I493" s="13" t="str">
        <f aca="true">IF(A493="","",IF(AND(OR(F493="New",F493="Replied",F493="Quote sent"),TODAY()&gt;=H493),"Yes",""))</f>
        <v/>
      </c>
      <c r="J493" s="14"/>
    </row>
    <row r="494" customFormat="false" ht="15" hidden="false" customHeight="false" outlineLevel="0" collapsed="false">
      <c r="A494" s="15"/>
      <c r="B494" s="14"/>
      <c r="C494" s="14"/>
      <c r="D494" s="14"/>
      <c r="E494" s="14"/>
      <c r="F494" s="14"/>
      <c r="G494" s="16"/>
      <c r="H494" s="12" t="str">
        <f aca="false">IF(A494="","",A494+2)</f>
        <v/>
      </c>
      <c r="I494" s="13" t="str">
        <f aca="true">IF(A494="","",IF(AND(OR(F494="New",F494="Replied",F494="Quote sent"),TODAY()&gt;=H494),"Yes",""))</f>
        <v/>
      </c>
      <c r="J494" s="14"/>
    </row>
    <row r="495" customFormat="false" ht="15" hidden="false" customHeight="false" outlineLevel="0" collapsed="false">
      <c r="A495" s="15"/>
      <c r="B495" s="14"/>
      <c r="C495" s="14"/>
      <c r="D495" s="14"/>
      <c r="E495" s="14"/>
      <c r="F495" s="14"/>
      <c r="G495" s="16"/>
      <c r="H495" s="12" t="str">
        <f aca="false">IF(A495="","",A495+2)</f>
        <v/>
      </c>
      <c r="I495" s="13" t="str">
        <f aca="true">IF(A495="","",IF(AND(OR(F495="New",F495="Replied",F495="Quote sent"),TODAY()&gt;=H495),"Yes",""))</f>
        <v/>
      </c>
      <c r="J495" s="14"/>
    </row>
    <row r="496" customFormat="false" ht="15" hidden="false" customHeight="false" outlineLevel="0" collapsed="false">
      <c r="A496" s="15"/>
      <c r="B496" s="14"/>
      <c r="C496" s="14"/>
      <c r="D496" s="14"/>
      <c r="E496" s="14"/>
      <c r="F496" s="14"/>
      <c r="G496" s="16"/>
      <c r="H496" s="12" t="str">
        <f aca="false">IF(A496="","",A496+2)</f>
        <v/>
      </c>
      <c r="I496" s="13" t="str">
        <f aca="true">IF(A496="","",IF(AND(OR(F496="New",F496="Replied",F496="Quote sent"),TODAY()&gt;=H496),"Yes",""))</f>
        <v/>
      </c>
      <c r="J496" s="14"/>
    </row>
    <row r="497" customFormat="false" ht="15" hidden="false" customHeight="false" outlineLevel="0" collapsed="false">
      <c r="A497" s="15"/>
      <c r="B497" s="14"/>
      <c r="C497" s="14"/>
      <c r="D497" s="14"/>
      <c r="E497" s="14"/>
      <c r="F497" s="14"/>
      <c r="G497" s="16"/>
      <c r="H497" s="12" t="str">
        <f aca="false">IF(A497="","",A497+2)</f>
        <v/>
      </c>
      <c r="I497" s="13" t="str">
        <f aca="true">IF(A497="","",IF(AND(OR(F497="New",F497="Replied",F497="Quote sent"),TODAY()&gt;=H497),"Yes",""))</f>
        <v/>
      </c>
      <c r="J497" s="14"/>
    </row>
    <row r="498" customFormat="false" ht="15" hidden="false" customHeight="false" outlineLevel="0" collapsed="false">
      <c r="A498" s="15"/>
      <c r="B498" s="14"/>
      <c r="C498" s="14"/>
      <c r="D498" s="14"/>
      <c r="E498" s="14"/>
      <c r="F498" s="14"/>
      <c r="G498" s="16"/>
      <c r="H498" s="12" t="str">
        <f aca="false">IF(A498="","",A498+2)</f>
        <v/>
      </c>
      <c r="I498" s="13" t="str">
        <f aca="true">IF(A498="","",IF(AND(OR(F498="New",F498="Replied",F498="Quote sent"),TODAY()&gt;=H498),"Yes",""))</f>
        <v/>
      </c>
      <c r="J498" s="14"/>
    </row>
    <row r="499" customFormat="false" ht="15" hidden="false" customHeight="false" outlineLevel="0" collapsed="false">
      <c r="A499" s="15"/>
      <c r="B499" s="14"/>
      <c r="C499" s="14"/>
      <c r="D499" s="14"/>
      <c r="E499" s="14"/>
      <c r="F499" s="14"/>
      <c r="G499" s="16"/>
      <c r="H499" s="12" t="str">
        <f aca="false">IF(A499="","",A499+2)</f>
        <v/>
      </c>
      <c r="I499" s="13" t="str">
        <f aca="true">IF(A499="","",IF(AND(OR(F499="New",F499="Replied",F499="Quote sent"),TODAY()&gt;=H499),"Yes",""))</f>
        <v/>
      </c>
      <c r="J499" s="14"/>
    </row>
    <row r="500" customFormat="false" ht="15" hidden="false" customHeight="false" outlineLevel="0" collapsed="false">
      <c r="A500" s="15"/>
      <c r="B500" s="14"/>
      <c r="C500" s="14"/>
      <c r="D500" s="14"/>
      <c r="E500" s="14"/>
      <c r="F500" s="14"/>
      <c r="G500" s="16"/>
      <c r="H500" s="12" t="str">
        <f aca="false">IF(A500="","",A500+2)</f>
        <v/>
      </c>
      <c r="I500" s="13" t="str">
        <f aca="true">IF(A500="","",IF(AND(OR(F500="New",F500="Replied",F500="Quote sent"),TODAY()&gt;=H500),"Yes",""))</f>
        <v/>
      </c>
      <c r="J500" s="14"/>
    </row>
    <row r="501" customFormat="false" ht="15" hidden="false" customHeight="false" outlineLevel="0" collapsed="false">
      <c r="A501" s="15"/>
      <c r="B501" s="14"/>
      <c r="C501" s="14"/>
      <c r="D501" s="14"/>
      <c r="E501" s="14"/>
      <c r="F501" s="14"/>
      <c r="G501" s="16"/>
      <c r="H501" s="12" t="str">
        <f aca="false">IF(A501="","",A501+2)</f>
        <v/>
      </c>
      <c r="I501" s="13" t="str">
        <f aca="true">IF(A501="","",IF(AND(OR(F501="New",F501="Replied",F501="Quote sent"),TODAY()&gt;=H501),"Yes",""))</f>
        <v/>
      </c>
      <c r="J501" s="14"/>
    </row>
    <row r="502" customFormat="false" ht="15" hidden="false" customHeight="false" outlineLevel="0" collapsed="false">
      <c r="A502" s="15"/>
      <c r="B502" s="14"/>
      <c r="C502" s="14"/>
      <c r="D502" s="14"/>
      <c r="E502" s="14"/>
      <c r="F502" s="14"/>
      <c r="G502" s="16"/>
      <c r="H502" s="12" t="str">
        <f aca="false">IF(A502="","",A502+2)</f>
        <v/>
      </c>
      <c r="I502" s="13" t="str">
        <f aca="true">IF(A502="","",IF(AND(OR(F502="New",F502="Replied",F502="Quote sent"),TODAY()&gt;=H502),"Yes",""))</f>
        <v/>
      </c>
      <c r="J502" s="14"/>
    </row>
    <row r="503" customFormat="false" ht="15" hidden="false" customHeight="false" outlineLevel="0" collapsed="false">
      <c r="A503" s="15"/>
      <c r="B503" s="14"/>
      <c r="C503" s="14"/>
      <c r="D503" s="14"/>
      <c r="E503" s="14"/>
      <c r="F503" s="14"/>
      <c r="G503" s="16"/>
      <c r="H503" s="12" t="str">
        <f aca="false">IF(A503="","",A503+2)</f>
        <v/>
      </c>
      <c r="I503" s="13" t="str">
        <f aca="true">IF(A503="","",IF(AND(OR(F503="New",F503="Replied",F503="Quote sent"),TODAY()&gt;=H503),"Yes",""))</f>
        <v/>
      </c>
      <c r="J503" s="14"/>
    </row>
    <row r="504" customFormat="false" ht="15" hidden="false" customHeight="false" outlineLevel="0" collapsed="false">
      <c r="A504" s="15"/>
      <c r="B504" s="14"/>
      <c r="C504" s="14"/>
      <c r="D504" s="14"/>
      <c r="E504" s="14"/>
      <c r="F504" s="14"/>
      <c r="G504" s="16"/>
      <c r="H504" s="12" t="str">
        <f aca="false">IF(A504="","",A504+2)</f>
        <v/>
      </c>
      <c r="I504" s="13" t="str">
        <f aca="true">IF(A504="","",IF(AND(OR(F504="New",F504="Replied",F504="Quote sent"),TODAY()&gt;=H504),"Yes",""))</f>
        <v/>
      </c>
      <c r="J504" s="14"/>
    </row>
  </sheetData>
  <conditionalFormatting sqref="I5:I504">
    <cfRule type="expression" priority="2" aboveAverage="0" equalAverage="0" bottom="0" percent="0" rank="0" text="" dxfId="0">
      <formula>$I5="Yes"</formula>
    </cfRule>
  </conditionalFormatting>
  <dataValidations count="2">
    <dataValidation allowBlank="true" errorStyle="stop" operator="between" showDropDown="false" showErrorMessage="false" showInputMessage="false" sqref="F5:F504" type="list">
      <formula1>"New,Replied,Quote sent,Won,Lost"</formula1>
      <formula2>0</formula2>
    </dataValidation>
    <dataValidation allowBlank="true" errorStyle="stop" operator="between" showDropDown="false" showErrorMessage="false" showInputMessage="false" sqref="D5:D504" type="list">
      <formula1>"Google Business Profile,Website,Word of mouth,Repeat customer,Directory listing,Other"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0" hidden="false" customHeight="true" outlineLevel="0" collapsed="false">
      <c r="A4" s="8" t="s">
        <v>20</v>
      </c>
      <c r="B4" s="8" t="s">
        <v>13</v>
      </c>
      <c r="C4" s="8" t="s">
        <v>32</v>
      </c>
    </row>
    <row r="5" customFormat="false" ht="15" hidden="false" customHeight="false" outlineLevel="0" collapsed="false">
      <c r="A5" s="17" t="s">
        <v>33</v>
      </c>
      <c r="B5" s="18" t="n">
        <f aca="false">COUNTIF(Enquiries!$F$5:$F$504,A5)</f>
        <v>0</v>
      </c>
      <c r="C5" s="19" t="n">
        <f aca="false">SUMIFS(Enquiries!$G$5:$G$504,Enquiries!$F$5:$F$504,A5)</f>
        <v>0</v>
      </c>
    </row>
    <row r="6" customFormat="false" ht="15" hidden="false" customHeight="false" outlineLevel="0" collapsed="false">
      <c r="A6" s="17" t="s">
        <v>34</v>
      </c>
      <c r="B6" s="18" t="n">
        <f aca="false">COUNTIF(Enquiries!$F$5:$F$504,A6)</f>
        <v>0</v>
      </c>
      <c r="C6" s="19" t="n">
        <f aca="false">SUMIFS(Enquiries!$G$5:$G$504,Enquiries!$F$5:$F$504,A6)</f>
        <v>0</v>
      </c>
    </row>
    <row r="7" customFormat="false" ht="15" hidden="false" customHeight="false" outlineLevel="0" collapsed="false">
      <c r="A7" s="17" t="s">
        <v>29</v>
      </c>
      <c r="B7" s="18" t="n">
        <f aca="false">COUNTIF(Enquiries!$F$5:$F$504,A7)</f>
        <v>1</v>
      </c>
      <c r="C7" s="19" t="n">
        <f aca="false">SUMIFS(Enquiries!$G$5:$G$504,Enquiries!$F$5:$F$504,A7)</f>
        <v>188</v>
      </c>
    </row>
    <row r="8" customFormat="false" ht="15" hidden="false" customHeight="false" outlineLevel="0" collapsed="false">
      <c r="A8" s="17" t="s">
        <v>35</v>
      </c>
      <c r="B8" s="18" t="n">
        <f aca="false">COUNTIF(Enquiries!$F$5:$F$504,A8)</f>
        <v>0</v>
      </c>
      <c r="C8" s="19" t="n">
        <f aca="false">SUMIFS(Enquiries!$G$5:$G$504,Enquiries!$F$5:$F$504,A8)</f>
        <v>0</v>
      </c>
    </row>
    <row r="9" customFormat="false" ht="15" hidden="false" customHeight="false" outlineLevel="0" collapsed="false">
      <c r="A9" s="17" t="s">
        <v>36</v>
      </c>
      <c r="B9" s="18" t="n">
        <f aca="false">COUNTIF(Enquiries!$F$5:$F$504,A9)</f>
        <v>0</v>
      </c>
      <c r="C9" s="19" t="n">
        <f aca="false">SUMIFS(Enquiries!$G$5:$G$504,Enquiries!$F$5:$F$504,A9)</f>
        <v>0</v>
      </c>
    </row>
    <row r="10" customFormat="false" ht="15" hidden="false" customHeight="false" outlineLevel="0" collapsed="false">
      <c r="A10" s="20" t="s">
        <v>37</v>
      </c>
      <c r="B10" s="21" t="n">
        <f aca="false">SUM(B5:B9)</f>
        <v>1</v>
      </c>
    </row>
    <row r="11" customFormat="false" ht="15" hidden="false" customHeight="false" outlineLevel="0" collapsed="false">
      <c r="A11" s="17" t="s">
        <v>38</v>
      </c>
      <c r="B11" s="22" t="str">
        <f aca="false">IF((B8+B9)=0,"",B8/(B8+B9))</f>
        <v/>
      </c>
    </row>
    <row r="12" customFormat="false" ht="15" hidden="false" customHeight="false" outlineLevel="0" collapsed="false">
      <c r="A12" s="17" t="s">
        <v>39</v>
      </c>
      <c r="B12" s="18" t="n">
        <f aca="false">COUNTIF(Enquiries!$I$5:$I$504,"Yes")</f>
        <v>0</v>
      </c>
    </row>
    <row r="14" customFormat="false" ht="30" hidden="false" customHeight="true" outlineLevel="0" collapsed="false">
      <c r="A14" s="8" t="s">
        <v>18</v>
      </c>
      <c r="B14" s="8" t="s">
        <v>13</v>
      </c>
      <c r="C14" s="8" t="s">
        <v>35</v>
      </c>
    </row>
    <row r="15" customFormat="false" ht="15" hidden="false" customHeight="false" outlineLevel="0" collapsed="false">
      <c r="A15" s="17" t="s">
        <v>27</v>
      </c>
      <c r="B15" s="18" t="n">
        <f aca="false">COUNTIF(Enquiries!$D$5:$D$504,A15)</f>
        <v>1</v>
      </c>
      <c r="C15" s="18" t="n">
        <f aca="false">COUNTIFS(Enquiries!$D$5:$D$504,A15,Enquiries!$F$5:$F$504,"Won")</f>
        <v>0</v>
      </c>
    </row>
    <row r="16" customFormat="false" ht="15" hidden="false" customHeight="false" outlineLevel="0" collapsed="false">
      <c r="A16" s="17" t="s">
        <v>40</v>
      </c>
      <c r="B16" s="18" t="n">
        <f aca="false">COUNTIF(Enquiries!$D$5:$D$504,A16)</f>
        <v>0</v>
      </c>
      <c r="C16" s="18" t="n">
        <f aca="false">COUNTIFS(Enquiries!$D$5:$D$504,A16,Enquiries!$F$5:$F$504,"Won")</f>
        <v>0</v>
      </c>
    </row>
    <row r="17" customFormat="false" ht="15" hidden="false" customHeight="false" outlineLevel="0" collapsed="false">
      <c r="A17" s="17" t="s">
        <v>41</v>
      </c>
      <c r="B17" s="18" t="n">
        <f aca="false">COUNTIF(Enquiries!$D$5:$D$504,A17)</f>
        <v>0</v>
      </c>
      <c r="C17" s="18" t="n">
        <f aca="false">COUNTIFS(Enquiries!$D$5:$D$504,A17,Enquiries!$F$5:$F$504,"Won")</f>
        <v>0</v>
      </c>
    </row>
    <row r="18" customFormat="false" ht="15" hidden="false" customHeight="false" outlineLevel="0" collapsed="false">
      <c r="A18" s="17" t="s">
        <v>42</v>
      </c>
      <c r="B18" s="18" t="n">
        <f aca="false">COUNTIF(Enquiries!$D$5:$D$504,A18)</f>
        <v>0</v>
      </c>
      <c r="C18" s="18" t="n">
        <f aca="false">COUNTIFS(Enquiries!$D$5:$D$504,A18,Enquiries!$F$5:$F$504,"Won")</f>
        <v>0</v>
      </c>
    </row>
    <row r="19" customFormat="false" ht="15" hidden="false" customHeight="false" outlineLevel="0" collapsed="false">
      <c r="A19" s="17" t="s">
        <v>43</v>
      </c>
      <c r="B19" s="18" t="n">
        <f aca="false">COUNTIF(Enquiries!$D$5:$D$504,A19)</f>
        <v>0</v>
      </c>
      <c r="C19" s="18" t="n">
        <f aca="false">COUNTIFS(Enquiries!$D$5:$D$504,A19,Enquiries!$F$5:$F$504,"Won")</f>
        <v>0</v>
      </c>
    </row>
    <row r="20" customFormat="false" ht="15" hidden="false" customHeight="false" outlineLevel="0" collapsed="false">
      <c r="A20" s="17" t="s">
        <v>44</v>
      </c>
      <c r="B20" s="18" t="n">
        <f aca="false">COUNTIF(Enquiries!$D$5:$D$504,A20)</f>
        <v>0</v>
      </c>
      <c r="C20" s="18" t="n">
        <f aca="false">COUNTIFS(Enquiries!$D$5:$D$504,A20,Enquiries!$F$5:$F$504,"Won")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2026-10-11T20:14:52Z</dcterms:created>
  <dc:creator>openpyxl</dc:creator>
  <dc:description/>
  <dc:language>en-US</dc:language>
  <cp:lastModifiedBy/>
  <dcterms:modified xsi:type="dcterms:W3CDTF">2026-10-11T20:14:53Z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