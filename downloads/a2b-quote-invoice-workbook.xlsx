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Your details" sheetId="2" state="visible" r:id="rId4"/>
    <sheet name="Quote" sheetId="3" state="visible" r:id="rId5"/>
    <sheet name="Invoice" sheetId="4" state="visible" r:id="rId6"/>
    <sheet name="Invoice log" sheetId="5" state="visible" r:id="rId7"/>
  </sheets>
  <definedNames>
    <definedName function="false" hidden="false" localSheetId="3" name="_xlnm.Print_Area" vbProcedure="false">Invoice!$A$1:$D$40</definedName>
    <definedName function="false" hidden="false" localSheetId="2" name="_xlnm.Print_Area" vbProcedure="false">Quote!$A$1:$D$39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Enter the rate as a percentage, e.g. 20%. Check which rate applies at gov.uk/vat-rates. Leave 0% if you are not VAT registered.</t>
        </r>
      </text>
    </comment>
    <comment ref="B18" authorId="0">
      <text>
        <r>
          <rPr>
            <sz val="10"/>
            <rFont val="Arial"/>
            <family val="2"/>
          </rPr>
          <t xml:space="preserve">Unless you agree a payment date, GOV.UK says the customer must pay within 30 days of getting your invoice or the goods or service. You can set your own terms.</t>
        </r>
      </text>
    </comment>
  </commentList>
</comments>
</file>

<file path=xl/sharedStrings.xml><?xml version="1.0" encoding="utf-8"?>
<sst xmlns="http://schemas.openxmlformats.org/spreadsheetml/2006/main" count="112" uniqueCount="96">
  <si>
    <t xml:space="preserve">Quote and invoice workbook</t>
  </si>
  <si>
    <t xml:space="preserve">A free template from A2B Guides. Not legal, tax or financial advice.</t>
  </si>
  <si>
    <t xml:space="preserve">What this does</t>
  </si>
  <si>
    <t xml:space="preserve">Fill in your details once, then write a quote and turn it into an invoice. Totals, VAT (if you are registered) and the payment due date work themselves out. Keep a copy of the workbook for each job, or record each invoice on the Invoice log sheet.</t>
  </si>
  <si>
    <t xml:space="preserve">Which cells to fill in</t>
  </si>
  <si>
    <t xml:space="preserve">Yellow cells are yours to fill in. Grey cells work themselves out; please leave them alone.</t>
  </si>
  <si>
    <t xml:space="preserve">Green rows are examples showing the format. Delete or overwrite them.</t>
  </si>
  <si>
    <t xml:space="preserve">What GOV.UK says an invoice must include</t>
  </si>
  <si>
    <t xml:space="preserve">A unique identification number; your name or company name, address and contact details; the customer's name and address; a clear description of what you're charging for; the supply date; the invoice date; the amount(s) charged; VAT if applicable; the total amount owed. Sole traders using a business name also need an address where legal documents can be delivered. The Invoice sheet has a place for each.</t>
  </si>
  <si>
    <t xml:space="preserve">https://www.gov.uk/invoicing-and-taking-payment-from-customers/invoices-what-they-must-include</t>
  </si>
  <si>
    <t xml:space="preserve">If you are VAT registered, a VAT invoice needs more detail (VAT Notice 700/21, section 4.1). Check it and add any lines you need.</t>
  </si>
  <si>
    <t xml:space="preserve">https://www.gov.uk/guidance/record-keeping-for-vat-notice-70021</t>
  </si>
  <si>
    <t xml:space="preserve">Numbering</t>
  </si>
  <si>
    <t xml:space="preserve">Number invoices in a simple sequence (0001, 0002, …) and never reuse a number. Quotes can use their own sequence (Q0001, Q0002, …).</t>
  </si>
  <si>
    <t xml:space="preserve">Saving as PDF</t>
  </si>
  <si>
    <t xml:space="preserve">Excel: File &gt; Save As (or Export) &gt; PDF. Google Sheets: File &gt; Download &gt; PDF. Numbers: File &gt; Export To &gt; PDF. Select only the Quote or Invoice sheet when you export.</t>
  </si>
  <si>
    <t xml:space="preserve">The full guide</t>
  </si>
  <si>
    <t xml:space="preserve">https://a2bguides.github.io/guides/quote-invoice-templates/</t>
  </si>
  <si>
    <t xml:space="preserve">Rules and rates change. Check GOV.UK before relying on anything here. Last checked 11 October 2026.</t>
  </si>
  <si>
    <t xml:space="preserve">Your details</t>
  </si>
  <si>
    <t xml:space="preserve">Fill these in once. The quote and invoice pull them in automatically.</t>
  </si>
  <si>
    <t xml:space="preserve">Your full name</t>
  </si>
  <si>
    <t xml:space="preserve">Alex Example</t>
  </si>
  <si>
    <t xml:space="preserve">Business name (if you use one)</t>
  </si>
  <si>
    <t xml:space="preserve">Example Plumbing</t>
  </si>
  <si>
    <t xml:space="preserve">Limited company name (as on the certificate, if a company)</t>
  </si>
  <si>
    <t xml:space="preserve">Business address</t>
  </si>
  <si>
    <t xml:space="preserve">1 Example Street, Exampletown, EX1 1AA</t>
  </si>
  <si>
    <t xml:space="preserve">Address for legal documents (sole traders using a business name)</t>
  </si>
  <si>
    <t xml:space="preserve">Phone</t>
  </si>
  <si>
    <t xml:space="preserve">07000 000000</t>
  </si>
  <si>
    <t xml:space="preserve">Email</t>
  </si>
  <si>
    <t xml:space="preserve">hello@example.com</t>
  </si>
  <si>
    <t xml:space="preserve">Bank name</t>
  </si>
  <si>
    <t xml:space="preserve">Example Bank</t>
  </si>
  <si>
    <t xml:space="preserve">Account name</t>
  </si>
  <si>
    <t xml:space="preserve">A Example</t>
  </si>
  <si>
    <t xml:space="preserve">Sort code</t>
  </si>
  <si>
    <t xml:space="preserve">00-00-00</t>
  </si>
  <si>
    <t xml:space="preserve">Account number</t>
  </si>
  <si>
    <t xml:space="preserve">00000000</t>
  </si>
  <si>
    <t xml:space="preserve">VAT registered? (Yes/No)</t>
  </si>
  <si>
    <t xml:space="preserve">No</t>
  </si>
  <si>
    <t xml:space="preserve">VAT registration number</t>
  </si>
  <si>
    <t xml:space="preserve">VAT rate (if registered)</t>
  </si>
  <si>
    <t xml:space="preserve">Payment terms in days</t>
  </si>
  <si>
    <t xml:space="preserve">The example values above show the format. Replace them with your own.</t>
  </si>
  <si>
    <t xml:space="preserve">QUOTE</t>
  </si>
  <si>
    <t xml:space="preserve">Quote number</t>
  </si>
  <si>
    <t xml:space="preserve">Q0001</t>
  </si>
  <si>
    <t xml:space="preserve">Date of quote</t>
  </si>
  <si>
    <t xml:space="preserve">Price valid until</t>
  </si>
  <si>
    <t xml:space="preserve">Expected start</t>
  </si>
  <si>
    <t xml:space="preserve">Week of 19 Oct 2026</t>
  </si>
  <si>
    <t xml:space="preserve">For</t>
  </si>
  <si>
    <t xml:space="preserve">Sam Customer</t>
  </si>
  <si>
    <t xml:space="preserve">12 Sample Road, Exampletown, EX2 2BB</t>
  </si>
  <si>
    <t xml:space="preserve">Job address (if different)</t>
  </si>
  <si>
    <t xml:space="preserve">Description of the work or goods</t>
  </si>
  <si>
    <t xml:space="preserve">Qty</t>
  </si>
  <si>
    <t xml:space="preserve">Unit price (£)</t>
  </si>
  <si>
    <t xml:space="preserve">Line total (£)</t>
  </si>
  <si>
    <t xml:space="preserve">Supply and fit kitchen mixer tap</t>
  </si>
  <si>
    <t xml:space="preserve">Labour (hours)</t>
  </si>
  <si>
    <t xml:space="preserve">Isolating valves</t>
  </si>
  <si>
    <t xml:space="preserve">Subtotal</t>
  </si>
  <si>
    <t xml:space="preserve">TOTAL PRICE</t>
  </si>
  <si>
    <t xml:space="preserve">What is included</t>
  </si>
  <si>
    <t xml:space="preserve">All parts and labour listed above; removal of the old tap</t>
  </si>
  <si>
    <t xml:space="preserve">What is not included</t>
  </si>
  <si>
    <t xml:space="preserve">Redecoration; any extra work found once started (priced and agreed first)</t>
  </si>
  <si>
    <t xml:space="preserve">Payment terms</t>
  </si>
  <si>
    <t xml:space="preserve">Balance due within 14 days of the invoice date</t>
  </si>
  <si>
    <t xml:space="preserve">To accept, sign and return, or reply by email confirming the quote number.   Name: ____________   Signature: ____________   Date: ________</t>
  </si>
  <si>
    <t xml:space="preserve">INVOICE</t>
  </si>
  <si>
    <t xml:space="preserve">Invoice number</t>
  </si>
  <si>
    <t xml:space="preserve">0001</t>
  </si>
  <si>
    <t xml:space="preserve">Invoice date</t>
  </si>
  <si>
    <t xml:space="preserve">Date work done (supply date)</t>
  </si>
  <si>
    <t xml:space="preserve">Your quote reference</t>
  </si>
  <si>
    <t xml:space="preserve">Bill to</t>
  </si>
  <si>
    <t xml:space="preserve">Less deposit paid</t>
  </si>
  <si>
    <t xml:space="preserve">TOTAL AMOUNT OWED</t>
  </si>
  <si>
    <t xml:space="preserve">Payment</t>
  </si>
  <si>
    <t xml:space="preserve">Thank you for your business.</t>
  </si>
  <si>
    <t xml:space="preserve">Invoice log</t>
  </si>
  <si>
    <t xml:space="preserve">One row per invoice. Status updates itself from the dates.</t>
  </si>
  <si>
    <t xml:space="preserve">Invoice no.</t>
  </si>
  <si>
    <t xml:space="preserve">Customer</t>
  </si>
  <si>
    <t xml:space="preserve">Total (£)</t>
  </si>
  <si>
    <t xml:space="preserve">Due date</t>
  </si>
  <si>
    <t xml:space="preserve">Date paid</t>
  </si>
  <si>
    <t xml:space="preserve">Status</t>
  </si>
  <si>
    <t xml:space="preserve">Days overdue</t>
  </si>
  <si>
    <t xml:space="preserve">Owed to you now</t>
  </si>
  <si>
    <t xml:space="preserve">Of which overdue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</si>
</sst>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dd\ mmm\ yyyy"/>
    <numFmt numFmtId="167" formatCode="\£#,##0.00;&quot;-£&quot;#,##0.00;\–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6B4A"/>
      <name val="Arial"/>
      <family val="0"/>
      <charset val="1"/>
    </font>
    <font>
      <i val="true"/>
      <sz val="10"/>
      <color rgb="FF5B6B62"/>
      <name val="Arial"/>
      <family val="0"/>
      <charset val="1"/>
    </font>
    <font>
      <b val="true"/>
      <sz val="12"/>
      <color rgb="FF1E6B4A"/>
      <name val="Arial"/>
      <family val="0"/>
      <charset val="1"/>
    </font>
    <font>
      <sz val="10"/>
      <color rgb="FF1F2A24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i val="true"/>
      <sz val="9"/>
      <color rgb="FF5B6B62"/>
      <name val="Arial"/>
      <family val="0"/>
      <charset val="1"/>
    </font>
    <font>
      <sz val="10"/>
      <name val="Arial"/>
      <family val="2"/>
    </font>
    <font>
      <b val="true"/>
      <sz val="20"/>
      <color rgb="FF1E6B4A"/>
      <name val="Arial"/>
      <family val="0"/>
      <charset val="1"/>
    </font>
    <font>
      <sz val="9"/>
      <color rgb="FF5B6B62"/>
      <name val="Arial"/>
      <family val="0"/>
      <charset val="1"/>
    </font>
    <font>
      <b val="true"/>
      <sz val="10"/>
      <color rgb="FF1F2A24"/>
      <name val="Arial"/>
      <family val="0"/>
      <charset val="1"/>
    </font>
    <font>
      <b val="true"/>
      <sz val="10"/>
      <color rgb="FF1E6B4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EAF3EE"/>
        <bgColor rgb="FFF3F6F4"/>
      </patternFill>
    </fill>
    <fill>
      <patternFill patternType="solid">
        <fgColor rgb="FF1E6B4A"/>
        <bgColor rgb="FF008080"/>
      </patternFill>
    </fill>
    <fill>
      <patternFill patternType="solid">
        <fgColor rgb="FFF3F6F4"/>
        <bgColor rgb="FFEAF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D"/>
      </left>
      <right style="thin">
        <color rgb="FFC9D3CD"/>
      </right>
      <top style="thin">
        <color rgb="FFC9D3CD"/>
      </top>
      <bottom style="thin">
        <color rgb="FFC9D3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C9D3CD"/>
      <rgbColor rgb="FF808080"/>
      <rgbColor rgb="FF9999FF"/>
      <rgbColor rgb="FF993366"/>
      <rgbColor rgb="FFFFF4C2"/>
      <rgbColor rgb="FFEAF3EE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B6B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v.uk/invoicing-and-taking-payment-from-customers/invoices-what-they-must-include" TargetMode="External"/><Relationship Id="rId2" Type="http://schemas.openxmlformats.org/officeDocument/2006/relationships/hyperlink" Target="https://www.gov.uk/guidance/record-keeping-for-vat-notice-70021" TargetMode="External"/><Relationship Id="rId3" Type="http://schemas.openxmlformats.org/officeDocument/2006/relationships/hyperlink" Target="https://a2bguides.github.io/guides/quote-invoice-templates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6" t="s">
        <v>6</v>
      </c>
    </row>
    <row r="9" customFormat="false" ht="15" hidden="false" customHeight="false" outlineLevel="0" collapsed="false">
      <c r="A9" s="3" t="s">
        <v>7</v>
      </c>
    </row>
    <row r="10" customFormat="false" ht="46.2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7" t="s">
        <v>9</v>
      </c>
    </row>
    <row r="12" customFormat="false" ht="23.8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7" t="s">
        <v>11</v>
      </c>
    </row>
    <row r="14" customFormat="false" ht="15" hidden="false" customHeight="false" outlineLevel="0" collapsed="false">
      <c r="A14" s="3" t="s">
        <v>12</v>
      </c>
    </row>
    <row r="15" customFormat="false" ht="23.85" hidden="false" customHeight="false" outlineLevel="0" collapsed="false">
      <c r="A15" s="4" t="s">
        <v>13</v>
      </c>
    </row>
    <row r="16" customFormat="false" ht="15" hidden="false" customHeight="false" outlineLevel="0" collapsed="false">
      <c r="A16" s="3" t="s">
        <v>14</v>
      </c>
    </row>
    <row r="17" customFormat="false" ht="23.85" hidden="false" customHeight="false" outlineLevel="0" collapsed="false">
      <c r="A17" s="4" t="s">
        <v>15</v>
      </c>
    </row>
    <row r="18" customFormat="false" ht="15" hidden="false" customHeight="false" outlineLevel="0" collapsed="false">
      <c r="A18" s="3" t="s">
        <v>16</v>
      </c>
    </row>
    <row r="19" customFormat="false" ht="15" hidden="false" customHeight="false" outlineLevel="0" collapsed="false">
      <c r="A19" s="7" t="s">
        <v>17</v>
      </c>
    </row>
    <row r="20" customFormat="false" ht="15" hidden="false" customHeight="false" outlineLevel="0" collapsed="false">
      <c r="A20" s="4" t="s">
        <v>18</v>
      </c>
    </row>
  </sheetData>
  <hyperlinks>
    <hyperlink ref="A11" r:id="rId1" display="https://www.gov.uk/invoicing-and-taking-payment-from-customers/invoices-what-they-must-include"/>
    <hyperlink ref="A13" r:id="rId2" display="https://www.gov.uk/guidance/record-keeping-for-vat-notice-70021"/>
    <hyperlink ref="A19" r:id="rId3" display="https://a2bguides.github.io/guides/quote-invoice-templat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8" t="s">
        <v>21</v>
      </c>
      <c r="B4" s="9" t="s">
        <v>22</v>
      </c>
    </row>
    <row r="5" customFormat="false" ht="15" hidden="false" customHeight="false" outlineLevel="0" collapsed="false">
      <c r="A5" s="8" t="s">
        <v>23</v>
      </c>
      <c r="B5" s="9" t="s">
        <v>24</v>
      </c>
    </row>
    <row r="6" customFormat="false" ht="23.85" hidden="false" customHeight="false" outlineLevel="0" collapsed="false">
      <c r="A6" s="8" t="s">
        <v>25</v>
      </c>
      <c r="B6" s="9"/>
    </row>
    <row r="7" customFormat="false" ht="15" hidden="false" customHeight="false" outlineLevel="0" collapsed="false">
      <c r="A7" s="8" t="s">
        <v>26</v>
      </c>
      <c r="B7" s="9" t="s">
        <v>27</v>
      </c>
    </row>
    <row r="8" customFormat="false" ht="23.85" hidden="false" customHeight="false" outlineLevel="0" collapsed="false">
      <c r="A8" s="8" t="s">
        <v>28</v>
      </c>
      <c r="B8" s="9" t="s">
        <v>27</v>
      </c>
    </row>
    <row r="9" customFormat="false" ht="15" hidden="false" customHeight="false" outlineLevel="0" collapsed="false">
      <c r="A9" s="8" t="s">
        <v>29</v>
      </c>
      <c r="B9" s="9" t="s">
        <v>30</v>
      </c>
    </row>
    <row r="10" customFormat="false" ht="15" hidden="false" customHeight="false" outlineLevel="0" collapsed="false">
      <c r="A10" s="8" t="s">
        <v>31</v>
      </c>
      <c r="B10" s="9" t="s">
        <v>32</v>
      </c>
    </row>
    <row r="11" customFormat="false" ht="15" hidden="false" customHeight="false" outlineLevel="0" collapsed="false">
      <c r="A11" s="8" t="s">
        <v>33</v>
      </c>
      <c r="B11" s="9" t="s">
        <v>34</v>
      </c>
    </row>
    <row r="12" customFormat="false" ht="15" hidden="false" customHeight="false" outlineLevel="0" collapsed="false">
      <c r="A12" s="8" t="s">
        <v>35</v>
      </c>
      <c r="B12" s="9" t="s">
        <v>36</v>
      </c>
    </row>
    <row r="13" customFormat="false" ht="15" hidden="false" customHeight="false" outlineLevel="0" collapsed="false">
      <c r="A13" s="8" t="s">
        <v>37</v>
      </c>
      <c r="B13" s="9" t="s">
        <v>38</v>
      </c>
    </row>
    <row r="14" customFormat="false" ht="15" hidden="false" customHeight="false" outlineLevel="0" collapsed="false">
      <c r="A14" s="8" t="s">
        <v>39</v>
      </c>
      <c r="B14" s="9" t="s">
        <v>40</v>
      </c>
    </row>
    <row r="15" customFormat="false" ht="15" hidden="false" customHeight="false" outlineLevel="0" collapsed="false">
      <c r="A15" s="8" t="s">
        <v>41</v>
      </c>
      <c r="B15" s="9" t="s">
        <v>42</v>
      </c>
    </row>
    <row r="16" customFormat="false" ht="15" hidden="false" customHeight="false" outlineLevel="0" collapsed="false">
      <c r="A16" s="8" t="s">
        <v>43</v>
      </c>
      <c r="B16" s="9"/>
    </row>
    <row r="17" customFormat="false" ht="15" hidden="false" customHeight="false" outlineLevel="0" collapsed="false">
      <c r="A17" s="8" t="s">
        <v>44</v>
      </c>
      <c r="B17" s="10" t="n">
        <v>0</v>
      </c>
    </row>
    <row r="18" customFormat="false" ht="15" hidden="false" customHeight="false" outlineLevel="0" collapsed="false">
      <c r="A18" s="8" t="s">
        <v>45</v>
      </c>
      <c r="B18" s="9" t="n">
        <v>14</v>
      </c>
    </row>
    <row r="20" customFormat="false" ht="15" hidden="false" customHeight="false" outlineLevel="0" collapsed="false">
      <c r="A20" s="11" t="s">
        <v>46</v>
      </c>
    </row>
  </sheetData>
  <dataValidations count="1">
    <dataValidation allowBlank="true" errorStyle="stop" operator="between" showDropDown="false" showErrorMessage="false" showInputMessage="false" sqref="B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24.45" hidden="false" customHeight="false" outlineLevel="0" collapsed="false">
      <c r="A1" s="12" t="s">
        <v>47</v>
      </c>
    </row>
    <row r="2" customFormat="false" ht="15" hidden="false" customHeight="false" outlineLevel="0" collapsed="false">
      <c r="C2" s="13" t="s">
        <v>48</v>
      </c>
      <c r="D2" s="9" t="s">
        <v>49</v>
      </c>
    </row>
    <row r="3" customFormat="false" ht="15" hidden="false" customHeight="false" outlineLevel="0" collapsed="false">
      <c r="A3" s="14" t="str">
        <f aca="false">IF('Your details'!B6&lt;&gt;"",'Your details'!B6,IF('Your details'!B5&lt;&gt;"",'Your details'!B4&amp;" trading as "&amp;'Your details'!B5,'Your details'!B4))</f>
        <v>Alex Example trading as Example Plumbing</v>
      </c>
      <c r="C3" s="13" t="s">
        <v>50</v>
      </c>
      <c r="D3" s="15" t="n">
        <v>46307</v>
      </c>
    </row>
    <row r="4" customFormat="false" ht="15" hidden="false" customHeight="false" outlineLevel="0" collapsed="false">
      <c r="A4" s="16" t="str">
        <f aca="false">'Your details'!B7</f>
        <v>1 Example Street, Exampletown, EX1 1AA</v>
      </c>
      <c r="C4" s="13" t="s">
        <v>51</v>
      </c>
      <c r="D4" s="15" t="n">
        <v>46337</v>
      </c>
    </row>
    <row r="5" customFormat="false" ht="15" hidden="false" customHeight="false" outlineLevel="0" collapsed="false">
      <c r="A5" s="16" t="str">
        <f aca="false">'Your details'!B9&amp;"  ·  "&amp;'Your details'!B10</f>
        <v>07000 000000  ·  hello@example.com</v>
      </c>
      <c r="C5" s="13" t="s">
        <v>52</v>
      </c>
      <c r="D5" s="9" t="s">
        <v>53</v>
      </c>
    </row>
    <row r="6" customFormat="false" ht="15" hidden="false" customHeight="false" outlineLevel="0" collapsed="false">
      <c r="A6" s="16" t="str">
        <f aca="false">IF('Your details'!B15="Yes","VAT number: "&amp;'Your details'!B16,"")</f>
        <v/>
      </c>
    </row>
    <row r="7" customFormat="false" ht="15" hidden="false" customHeight="false" outlineLevel="0" collapsed="false">
      <c r="A7" s="16"/>
    </row>
    <row r="9" customFormat="false" ht="15" hidden="false" customHeight="false" outlineLevel="0" collapsed="false">
      <c r="A9" s="17" t="s">
        <v>54</v>
      </c>
    </row>
    <row r="10" customFormat="false" ht="15" hidden="false" customHeight="false" outlineLevel="0" collapsed="false">
      <c r="A10" s="9" t="s">
        <v>55</v>
      </c>
    </row>
    <row r="11" customFormat="false" ht="15" hidden="false" customHeight="false" outlineLevel="0" collapsed="false">
      <c r="A11" s="9" t="s">
        <v>56</v>
      </c>
    </row>
    <row r="12" customFormat="false" ht="15" hidden="false" customHeight="false" outlineLevel="0" collapsed="false">
      <c r="A12" s="9" t="s">
        <v>57</v>
      </c>
    </row>
    <row r="14" customFormat="false" ht="30" hidden="false" customHeight="true" outlineLevel="0" collapsed="false">
      <c r="A14" s="18" t="s">
        <v>58</v>
      </c>
      <c r="B14" s="18" t="s">
        <v>59</v>
      </c>
      <c r="C14" s="18" t="s">
        <v>60</v>
      </c>
      <c r="D14" s="18" t="s">
        <v>61</v>
      </c>
    </row>
    <row r="15" customFormat="false" ht="15" hidden="false" customHeight="false" outlineLevel="0" collapsed="false">
      <c r="A15" s="19" t="s">
        <v>62</v>
      </c>
      <c r="B15" s="19" t="n">
        <v>1</v>
      </c>
      <c r="C15" s="20" t="n">
        <v>85</v>
      </c>
      <c r="D15" s="21" t="n">
        <f aca="false">IF(B15="","",B15*C15)</f>
        <v>85</v>
      </c>
    </row>
    <row r="16" customFormat="false" ht="15" hidden="false" customHeight="false" outlineLevel="0" collapsed="false">
      <c r="A16" s="19" t="s">
        <v>63</v>
      </c>
      <c r="B16" s="19" t="n">
        <v>2</v>
      </c>
      <c r="C16" s="20" t="n">
        <v>45</v>
      </c>
      <c r="D16" s="21" t="n">
        <f aca="false">IF(B16="","",B16*C16)</f>
        <v>90</v>
      </c>
    </row>
    <row r="17" customFormat="false" ht="15" hidden="false" customHeight="false" outlineLevel="0" collapsed="false">
      <c r="A17" s="19" t="s">
        <v>64</v>
      </c>
      <c r="B17" s="19" t="n">
        <v>2</v>
      </c>
      <c r="C17" s="20" t="n">
        <v>6.5</v>
      </c>
      <c r="D17" s="21" t="n">
        <f aca="false">IF(B17="","",B17*C17)</f>
        <v>13</v>
      </c>
    </row>
    <row r="18" customFormat="false" ht="15" hidden="false" customHeight="false" outlineLevel="0" collapsed="false">
      <c r="A18" s="9"/>
      <c r="B18" s="9"/>
      <c r="C18" s="22"/>
      <c r="D18" s="21" t="str">
        <f aca="false">IF(B18="","",B18*C18)</f>
        <v/>
      </c>
    </row>
    <row r="19" customFormat="false" ht="15" hidden="false" customHeight="false" outlineLevel="0" collapsed="false">
      <c r="A19" s="9"/>
      <c r="B19" s="9"/>
      <c r="C19" s="22"/>
      <c r="D19" s="21" t="str">
        <f aca="false">IF(B19="","",B19*C19)</f>
        <v/>
      </c>
    </row>
    <row r="20" customFormat="false" ht="15" hidden="false" customHeight="false" outlineLevel="0" collapsed="false">
      <c r="A20" s="9"/>
      <c r="B20" s="9"/>
      <c r="C20" s="22"/>
      <c r="D20" s="21" t="str">
        <f aca="false">IF(B20="","",B20*C20)</f>
        <v/>
      </c>
    </row>
    <row r="21" customFormat="false" ht="15" hidden="false" customHeight="false" outlineLevel="0" collapsed="false">
      <c r="A21" s="9"/>
      <c r="B21" s="9"/>
      <c r="C21" s="22"/>
      <c r="D21" s="21" t="str">
        <f aca="false">IF(B21="","",B21*C21)</f>
        <v/>
      </c>
    </row>
    <row r="22" customFormat="false" ht="15" hidden="false" customHeight="false" outlineLevel="0" collapsed="false">
      <c r="A22" s="9"/>
      <c r="B22" s="9"/>
      <c r="C22" s="22"/>
      <c r="D22" s="21" t="str">
        <f aca="false">IF(B22="","",B22*C22)</f>
        <v/>
      </c>
    </row>
    <row r="23" customFormat="false" ht="15" hidden="false" customHeight="false" outlineLevel="0" collapsed="false">
      <c r="A23" s="9"/>
      <c r="B23" s="9"/>
      <c r="C23" s="22"/>
      <c r="D23" s="21" t="str">
        <f aca="false">IF(B23="","",B23*C23)</f>
        <v/>
      </c>
    </row>
    <row r="24" customFormat="false" ht="15" hidden="false" customHeight="false" outlineLevel="0" collapsed="false">
      <c r="A24" s="9"/>
      <c r="B24" s="9"/>
      <c r="C24" s="22"/>
      <c r="D24" s="21" t="str">
        <f aca="false">IF(B24="","",B24*C24)</f>
        <v/>
      </c>
    </row>
    <row r="25" customFormat="false" ht="15" hidden="false" customHeight="false" outlineLevel="0" collapsed="false">
      <c r="A25" s="9"/>
      <c r="B25" s="9"/>
      <c r="C25" s="22"/>
      <c r="D25" s="21" t="str">
        <f aca="false">IF(B25="","",B25*C25)</f>
        <v/>
      </c>
    </row>
    <row r="26" customFormat="false" ht="15" hidden="false" customHeight="false" outlineLevel="0" collapsed="false">
      <c r="A26" s="9"/>
      <c r="B26" s="9"/>
      <c r="C26" s="22"/>
      <c r="D26" s="21" t="str">
        <f aca="false">IF(B26="","",B26*C26)</f>
        <v/>
      </c>
    </row>
    <row r="28" customFormat="false" ht="15" hidden="false" customHeight="false" outlineLevel="0" collapsed="false">
      <c r="C28" s="23" t="s">
        <v>65</v>
      </c>
      <c r="D28" s="21" t="n">
        <f aca="false">SUM(D15:D26)</f>
        <v>188</v>
      </c>
    </row>
    <row r="29" customFormat="false" ht="15" hidden="false" customHeight="false" outlineLevel="0" collapsed="false">
      <c r="C29" s="23" t="str">
        <f aca="false">IF('Your details'!B15="Yes","VAT at "&amp;TEXT('Your details'!B17,"0%"),"VAT (not registered)")</f>
        <v>VAT (not registered)</v>
      </c>
      <c r="D29" s="21" t="n">
        <f aca="false">IF('Your details'!B15="Yes",ROUND(D28*'Your details'!B17,2),0)</f>
        <v>0</v>
      </c>
    </row>
    <row r="30" customFormat="false" ht="15" hidden="false" customHeight="false" outlineLevel="0" collapsed="false">
      <c r="C30" s="24" t="s">
        <v>66</v>
      </c>
      <c r="D30" s="25" t="n">
        <f aca="false">D28+D29</f>
        <v>188</v>
      </c>
    </row>
    <row r="32" customFormat="false" ht="15" hidden="false" customHeight="false" outlineLevel="0" collapsed="false">
      <c r="A32" s="17" t="s">
        <v>67</v>
      </c>
    </row>
    <row r="33" customFormat="false" ht="15" hidden="false" customHeight="false" outlineLevel="0" collapsed="false">
      <c r="A33" s="9" t="s">
        <v>68</v>
      </c>
    </row>
    <row r="34" customFormat="false" ht="15" hidden="false" customHeight="false" outlineLevel="0" collapsed="false">
      <c r="A34" s="17" t="s">
        <v>69</v>
      </c>
    </row>
    <row r="35" customFormat="false" ht="15" hidden="false" customHeight="false" outlineLevel="0" collapsed="false">
      <c r="A35" s="9" t="s">
        <v>70</v>
      </c>
    </row>
    <row r="36" customFormat="false" ht="15" hidden="false" customHeight="false" outlineLevel="0" collapsed="false">
      <c r="A36" s="17" t="s">
        <v>71</v>
      </c>
    </row>
    <row r="37" customFormat="false" ht="15" hidden="false" customHeight="false" outlineLevel="0" collapsed="false">
      <c r="A37" s="9" t="s">
        <v>72</v>
      </c>
    </row>
    <row r="39" customFormat="false" ht="30" hidden="false" customHeight="true" outlineLevel="0" collapsed="false">
      <c r="A39" s="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24.45" hidden="false" customHeight="false" outlineLevel="0" collapsed="false">
      <c r="A1" s="12" t="s">
        <v>74</v>
      </c>
    </row>
    <row r="2" customFormat="false" ht="15" hidden="false" customHeight="false" outlineLevel="0" collapsed="false">
      <c r="C2" s="13" t="s">
        <v>75</v>
      </c>
      <c r="D2" s="9" t="s">
        <v>76</v>
      </c>
    </row>
    <row r="3" customFormat="false" ht="15" hidden="false" customHeight="false" outlineLevel="0" collapsed="false">
      <c r="A3" s="14" t="str">
        <f aca="false">IF('Your details'!B6&lt;&gt;"",'Your details'!B6,IF('Your details'!B5&lt;&gt;"",'Your details'!B4&amp;" trading as "&amp;'Your details'!B5,'Your details'!B4))</f>
        <v>Alex Example trading as Example Plumbing</v>
      </c>
      <c r="C3" s="13" t="s">
        <v>77</v>
      </c>
      <c r="D3" s="15" t="n">
        <v>46315</v>
      </c>
    </row>
    <row r="4" customFormat="false" ht="15" hidden="false" customHeight="false" outlineLevel="0" collapsed="false">
      <c r="A4" s="16" t="str">
        <f aca="false">'Your details'!B7</f>
        <v>1 Example Street, Exampletown, EX1 1AA</v>
      </c>
      <c r="C4" s="13" t="s">
        <v>78</v>
      </c>
      <c r="D4" s="15" t="n">
        <v>46313</v>
      </c>
    </row>
    <row r="5" customFormat="false" ht="15" hidden="false" customHeight="false" outlineLevel="0" collapsed="false">
      <c r="A5" s="16" t="str">
        <f aca="false">'Your details'!B9&amp;"  ·  "&amp;'Your details'!B10</f>
        <v>07000 000000  ·  hello@example.com</v>
      </c>
      <c r="C5" s="13" t="s">
        <v>79</v>
      </c>
      <c r="D5" s="9" t="s">
        <v>49</v>
      </c>
    </row>
    <row r="6" customFormat="false" ht="15" hidden="false" customHeight="false" outlineLevel="0" collapsed="false">
      <c r="A6" s="16" t="str">
        <f aca="false">IF(AND('Your details'!B5&lt;&gt;"",'Your details'!B6=""),"Address for legal documents: "&amp;'Your details'!B8,"")</f>
        <v>Address for legal documents: 1 Example Street, Exampletown, EX1 1AA</v>
      </c>
    </row>
    <row r="7" customFormat="false" ht="15" hidden="false" customHeight="false" outlineLevel="0" collapsed="false">
      <c r="A7" s="16" t="str">
        <f aca="false">IF('Your details'!B15="Yes","VAT registration number: "&amp;'Your details'!B16,"")</f>
        <v/>
      </c>
    </row>
    <row r="9" customFormat="false" ht="15" hidden="false" customHeight="false" outlineLevel="0" collapsed="false">
      <c r="A9" s="17" t="s">
        <v>80</v>
      </c>
    </row>
    <row r="10" customFormat="false" ht="15" hidden="false" customHeight="false" outlineLevel="0" collapsed="false">
      <c r="A10" s="9" t="s">
        <v>55</v>
      </c>
    </row>
    <row r="11" customFormat="false" ht="15" hidden="false" customHeight="false" outlineLevel="0" collapsed="false">
      <c r="A11" s="9" t="s">
        <v>56</v>
      </c>
    </row>
    <row r="12" customFormat="false" ht="15" hidden="false" customHeight="false" outlineLevel="0" collapsed="false">
      <c r="A12" s="9" t="s">
        <v>57</v>
      </c>
    </row>
    <row r="14" customFormat="false" ht="30" hidden="false" customHeight="true" outlineLevel="0" collapsed="false">
      <c r="A14" s="18" t="s">
        <v>58</v>
      </c>
      <c r="B14" s="18" t="s">
        <v>59</v>
      </c>
      <c r="C14" s="18" t="s">
        <v>60</v>
      </c>
      <c r="D14" s="18" t="s">
        <v>61</v>
      </c>
    </row>
    <row r="15" customFormat="false" ht="15" hidden="false" customHeight="false" outlineLevel="0" collapsed="false">
      <c r="A15" s="19" t="s">
        <v>62</v>
      </c>
      <c r="B15" s="19" t="n">
        <v>1</v>
      </c>
      <c r="C15" s="20" t="n">
        <v>85</v>
      </c>
      <c r="D15" s="21" t="n">
        <f aca="false">IF(B15="","",B15*C15)</f>
        <v>85</v>
      </c>
    </row>
    <row r="16" customFormat="false" ht="15" hidden="false" customHeight="false" outlineLevel="0" collapsed="false">
      <c r="A16" s="19" t="s">
        <v>63</v>
      </c>
      <c r="B16" s="19" t="n">
        <v>2</v>
      </c>
      <c r="C16" s="20" t="n">
        <v>45</v>
      </c>
      <c r="D16" s="21" t="n">
        <f aca="false">IF(B16="","",B16*C16)</f>
        <v>90</v>
      </c>
    </row>
    <row r="17" customFormat="false" ht="15" hidden="false" customHeight="false" outlineLevel="0" collapsed="false">
      <c r="A17" s="19" t="s">
        <v>64</v>
      </c>
      <c r="B17" s="19" t="n">
        <v>2</v>
      </c>
      <c r="C17" s="20" t="n">
        <v>6.5</v>
      </c>
      <c r="D17" s="21" t="n">
        <f aca="false">IF(B17="","",B17*C17)</f>
        <v>13</v>
      </c>
    </row>
    <row r="18" customFormat="false" ht="15" hidden="false" customHeight="false" outlineLevel="0" collapsed="false">
      <c r="A18" s="9"/>
      <c r="B18" s="9"/>
      <c r="C18" s="22"/>
      <c r="D18" s="21" t="str">
        <f aca="false">IF(B18="","",B18*C18)</f>
        <v/>
      </c>
    </row>
    <row r="19" customFormat="false" ht="15" hidden="false" customHeight="false" outlineLevel="0" collapsed="false">
      <c r="A19" s="9"/>
      <c r="B19" s="9"/>
      <c r="C19" s="22"/>
      <c r="D19" s="21" t="str">
        <f aca="false">IF(B19="","",B19*C19)</f>
        <v/>
      </c>
    </row>
    <row r="20" customFormat="false" ht="15" hidden="false" customHeight="false" outlineLevel="0" collapsed="false">
      <c r="A20" s="9"/>
      <c r="B20" s="9"/>
      <c r="C20" s="22"/>
      <c r="D20" s="21" t="str">
        <f aca="false">IF(B20="","",B20*C20)</f>
        <v/>
      </c>
    </row>
    <row r="21" customFormat="false" ht="15" hidden="false" customHeight="false" outlineLevel="0" collapsed="false">
      <c r="A21" s="9"/>
      <c r="B21" s="9"/>
      <c r="C21" s="22"/>
      <c r="D21" s="21" t="str">
        <f aca="false">IF(B21="","",B21*C21)</f>
        <v/>
      </c>
    </row>
    <row r="22" customFormat="false" ht="15" hidden="false" customHeight="false" outlineLevel="0" collapsed="false">
      <c r="A22" s="9"/>
      <c r="B22" s="9"/>
      <c r="C22" s="22"/>
      <c r="D22" s="21" t="str">
        <f aca="false">IF(B22="","",B22*C22)</f>
        <v/>
      </c>
    </row>
    <row r="23" customFormat="false" ht="15" hidden="false" customHeight="false" outlineLevel="0" collapsed="false">
      <c r="A23" s="9"/>
      <c r="B23" s="9"/>
      <c r="C23" s="22"/>
      <c r="D23" s="21" t="str">
        <f aca="false">IF(B23="","",B23*C23)</f>
        <v/>
      </c>
    </row>
    <row r="24" customFormat="false" ht="15" hidden="false" customHeight="false" outlineLevel="0" collapsed="false">
      <c r="A24" s="9"/>
      <c r="B24" s="9"/>
      <c r="C24" s="22"/>
      <c r="D24" s="21" t="str">
        <f aca="false">IF(B24="","",B24*C24)</f>
        <v/>
      </c>
    </row>
    <row r="25" customFormat="false" ht="15" hidden="false" customHeight="false" outlineLevel="0" collapsed="false">
      <c r="A25" s="9"/>
      <c r="B25" s="9"/>
      <c r="C25" s="22"/>
      <c r="D25" s="21" t="str">
        <f aca="false">IF(B25="","",B25*C25)</f>
        <v/>
      </c>
    </row>
    <row r="26" customFormat="false" ht="15" hidden="false" customHeight="false" outlineLevel="0" collapsed="false">
      <c r="A26" s="9"/>
      <c r="B26" s="9"/>
      <c r="C26" s="22"/>
      <c r="D26" s="21" t="str">
        <f aca="false">IF(B26="","",B26*C26)</f>
        <v/>
      </c>
    </row>
    <row r="28" customFormat="false" ht="15" hidden="false" customHeight="false" outlineLevel="0" collapsed="false">
      <c r="C28" s="23" t="s">
        <v>65</v>
      </c>
      <c r="D28" s="21" t="n">
        <f aca="false">SUM(D15:D26)</f>
        <v>188</v>
      </c>
    </row>
    <row r="29" customFormat="false" ht="15" hidden="false" customHeight="false" outlineLevel="0" collapsed="false">
      <c r="C29" s="23" t="str">
        <f aca="false">IF('Your details'!B15="Yes","VAT at "&amp;TEXT('Your details'!B17,"0%"),"VAT (not registered)")</f>
        <v>VAT (not registered)</v>
      </c>
      <c r="D29" s="21" t="n">
        <f aca="false">IF('Your details'!B15="Yes",ROUND(D28*'Your details'!B17,2),0)</f>
        <v>0</v>
      </c>
    </row>
    <row r="30" customFormat="false" ht="15" hidden="false" customHeight="false" outlineLevel="0" collapsed="false">
      <c r="C30" s="23" t="s">
        <v>81</v>
      </c>
      <c r="D30" s="22" t="n">
        <v>0</v>
      </c>
    </row>
    <row r="31" customFormat="false" ht="15" hidden="false" customHeight="false" outlineLevel="0" collapsed="false">
      <c r="C31" s="24" t="s">
        <v>82</v>
      </c>
      <c r="D31" s="25" t="n">
        <f aca="false">D28+D29-D30</f>
        <v>188</v>
      </c>
    </row>
    <row r="33" customFormat="false" ht="15" hidden="false" customHeight="false" outlineLevel="0" collapsed="false">
      <c r="A33" s="17" t="s">
        <v>83</v>
      </c>
    </row>
    <row r="34" customFormat="false" ht="15" hidden="false" customHeight="false" outlineLevel="0" collapsed="false">
      <c r="A34" s="16" t="str">
        <f aca="false">"Payment due by: "&amp;TEXT(D3+'Your details'!B18,"dd mmmm yyyy")</f>
        <v>Payment due by: 03 November 2026</v>
      </c>
    </row>
    <row r="35" customFormat="false" ht="15" hidden="false" customHeight="false" outlineLevel="0" collapsed="false">
      <c r="A35" s="16" t="str">
        <f aca="false">"Pay to: "&amp;'Your details'!B11&amp;", "&amp;'Your details'!B12&amp;", sort code "&amp;'Your details'!B13&amp;", account "&amp;'Your details'!B14</f>
        <v>Pay to: Example Bank, A Example, sort code 00-00-00, account 00000000</v>
      </c>
    </row>
    <row r="36" customFormat="false" ht="15" hidden="false" customHeight="false" outlineLevel="0" collapsed="false">
      <c r="A36" s="16" t="str">
        <f aca="false">"Please use invoice number "&amp;D2&amp;" as the payment reference."</f>
        <v>Please use invoice number 0001 as the payment reference.</v>
      </c>
    </row>
    <row r="37" customFormat="false" ht="15" hidden="false" customHeight="false" outlineLevel="0" collapsed="false">
      <c r="A37" s="16"/>
    </row>
    <row r="38" customFormat="false" ht="15" hidden="false" customHeight="false" outlineLevel="0" collapsed="false">
      <c r="A38" s="1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10" min="10" style="0" width="18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30" hidden="false" customHeight="true" outlineLevel="0" collapsed="false">
      <c r="A4" s="18" t="s">
        <v>87</v>
      </c>
      <c r="B4" s="18" t="s">
        <v>77</v>
      </c>
      <c r="C4" s="18" t="s">
        <v>88</v>
      </c>
      <c r="D4" s="18" t="s">
        <v>89</v>
      </c>
      <c r="E4" s="18" t="s">
        <v>90</v>
      </c>
      <c r="F4" s="18" t="s">
        <v>91</v>
      </c>
      <c r="G4" s="18" t="s">
        <v>92</v>
      </c>
      <c r="H4" s="18" t="s">
        <v>93</v>
      </c>
      <c r="J4" s="14" t="s">
        <v>94</v>
      </c>
    </row>
    <row r="5" customFormat="false" ht="15" hidden="false" customHeight="false" outlineLevel="0" collapsed="false">
      <c r="A5" s="19" t="s">
        <v>76</v>
      </c>
      <c r="B5" s="26" t="n">
        <v>46315</v>
      </c>
      <c r="C5" s="19" t="s">
        <v>55</v>
      </c>
      <c r="D5" s="20" t="n">
        <v>188</v>
      </c>
      <c r="E5" s="27" t="n">
        <f aca="false">IF(B5="","",B5+'Your details'!$B$18)</f>
        <v>46329</v>
      </c>
      <c r="F5" s="26" t="n">
        <v>46323</v>
      </c>
      <c r="G5" s="28" t="str">
        <f aca="true">IF(B5="","",IF(F5&lt;&gt;"","Paid",IF(TODAY()&gt;E5,"Overdue","Due")))</f>
        <v>Paid</v>
      </c>
      <c r="H5" s="29" t="str">
        <f aca="true">IF(G5="Overdue",TODAY()-E5,"")</f>
        <v/>
      </c>
      <c r="J5" s="25" t="n">
        <f aca="false">SUMIFS(D5:D204,G5:G204,"Due")+SUMIFS(D5:D204,G5:G204,"Overdue")</f>
        <v>0</v>
      </c>
    </row>
    <row r="6" customFormat="false" ht="15" hidden="false" customHeight="false" outlineLevel="0" collapsed="false">
      <c r="A6" s="9"/>
      <c r="B6" s="15"/>
      <c r="C6" s="9"/>
      <c r="D6" s="22"/>
      <c r="E6" s="27" t="str">
        <f aca="false">IF(B6="","",B6+'Your details'!$B$18)</f>
        <v/>
      </c>
      <c r="F6" s="15"/>
      <c r="G6" s="28" t="str">
        <f aca="true">IF(B6="","",IF(F6&lt;&gt;"","Paid",IF(TODAY()&gt;E6,"Overdue","Due")))</f>
        <v/>
      </c>
      <c r="H6" s="29" t="str">
        <f aca="true">IF(G6="Overdue",TODAY()-E6,"")</f>
        <v/>
      </c>
      <c r="J6" s="16" t="s">
        <v>95</v>
      </c>
    </row>
    <row r="7" customFormat="false" ht="15" hidden="false" customHeight="false" outlineLevel="0" collapsed="false">
      <c r="A7" s="9"/>
      <c r="B7" s="15"/>
      <c r="C7" s="9"/>
      <c r="D7" s="22"/>
      <c r="E7" s="27" t="str">
        <f aca="false">IF(B7="","",B7+'Your details'!$B$18)</f>
        <v/>
      </c>
      <c r="F7" s="15"/>
      <c r="G7" s="28" t="str">
        <f aca="true">IF(B7="","",IF(F7&lt;&gt;"","Paid",IF(TODAY()&gt;E7,"Overdue","Due")))</f>
        <v/>
      </c>
      <c r="H7" s="29" t="str">
        <f aca="true">IF(G7="Overdue",TODAY()-E7,"")</f>
        <v/>
      </c>
      <c r="J7" s="21" t="n">
        <f aca="false">SUMIFS(D5:D204,G5:G204,"Overdue")</f>
        <v>0</v>
      </c>
    </row>
    <row r="8" customFormat="false" ht="15" hidden="false" customHeight="false" outlineLevel="0" collapsed="false">
      <c r="A8" s="9"/>
      <c r="B8" s="15"/>
      <c r="C8" s="9"/>
      <c r="D8" s="22"/>
      <c r="E8" s="27" t="str">
        <f aca="false">IF(B8="","",B8+'Your details'!$B$18)</f>
        <v/>
      </c>
      <c r="F8" s="15"/>
      <c r="G8" s="28" t="str">
        <f aca="true">IF(B8="","",IF(F8&lt;&gt;"","Paid",IF(TODAY()&gt;E8,"Overdue","Due")))</f>
        <v/>
      </c>
      <c r="H8" s="29" t="str">
        <f aca="true">IF(G8="Overdue",TODAY()-E8,"")</f>
        <v/>
      </c>
    </row>
    <row r="9" customFormat="false" ht="15" hidden="false" customHeight="false" outlineLevel="0" collapsed="false">
      <c r="A9" s="9"/>
      <c r="B9" s="15"/>
      <c r="C9" s="9"/>
      <c r="D9" s="22"/>
      <c r="E9" s="27" t="str">
        <f aca="false">IF(B9="","",B9+'Your details'!$B$18)</f>
        <v/>
      </c>
      <c r="F9" s="15"/>
      <c r="G9" s="28" t="str">
        <f aca="true">IF(B9="","",IF(F9&lt;&gt;"","Paid",IF(TODAY()&gt;E9,"Overdue","Due")))</f>
        <v/>
      </c>
      <c r="H9" s="29" t="str">
        <f aca="true">IF(G9="Overdue",TODAY()-E9,"")</f>
        <v/>
      </c>
    </row>
    <row r="10" customFormat="false" ht="15" hidden="false" customHeight="false" outlineLevel="0" collapsed="false">
      <c r="A10" s="9"/>
      <c r="B10" s="15"/>
      <c r="C10" s="9"/>
      <c r="D10" s="22"/>
      <c r="E10" s="27" t="str">
        <f aca="false">IF(B10="","",B10+'Your details'!$B$18)</f>
        <v/>
      </c>
      <c r="F10" s="15"/>
      <c r="G10" s="28" t="str">
        <f aca="true">IF(B10="","",IF(F10&lt;&gt;"","Paid",IF(TODAY()&gt;E10,"Overdue","Due")))</f>
        <v/>
      </c>
      <c r="H10" s="29" t="str">
        <f aca="true">IF(G10="Overdue",TODAY()-E10,"")</f>
        <v/>
      </c>
    </row>
    <row r="11" customFormat="false" ht="15" hidden="false" customHeight="false" outlineLevel="0" collapsed="false">
      <c r="A11" s="9"/>
      <c r="B11" s="15"/>
      <c r="C11" s="9"/>
      <c r="D11" s="22"/>
      <c r="E11" s="27" t="str">
        <f aca="false">IF(B11="","",B11+'Your details'!$B$18)</f>
        <v/>
      </c>
      <c r="F11" s="15"/>
      <c r="G11" s="28" t="str">
        <f aca="true">IF(B11="","",IF(F11&lt;&gt;"","Paid",IF(TODAY()&gt;E11,"Overdue","Due")))</f>
        <v/>
      </c>
      <c r="H11" s="29" t="str">
        <f aca="true">IF(G11="Overdue",TODAY()-E11,"")</f>
        <v/>
      </c>
    </row>
    <row r="12" customFormat="false" ht="15" hidden="false" customHeight="false" outlineLevel="0" collapsed="false">
      <c r="A12" s="9"/>
      <c r="B12" s="15"/>
      <c r="C12" s="9"/>
      <c r="D12" s="22"/>
      <c r="E12" s="27" t="str">
        <f aca="false">IF(B12="","",B12+'Your details'!$B$18)</f>
        <v/>
      </c>
      <c r="F12" s="15"/>
      <c r="G12" s="28" t="str">
        <f aca="true">IF(B12="","",IF(F12&lt;&gt;"","Paid",IF(TODAY()&gt;E12,"Overdue","Due")))</f>
        <v/>
      </c>
      <c r="H12" s="29" t="str">
        <f aca="true">IF(G12="Overdue",TODAY()-E12,"")</f>
        <v/>
      </c>
    </row>
    <row r="13" customFormat="false" ht="15" hidden="false" customHeight="false" outlineLevel="0" collapsed="false">
      <c r="A13" s="9"/>
      <c r="B13" s="15"/>
      <c r="C13" s="9"/>
      <c r="D13" s="22"/>
      <c r="E13" s="27" t="str">
        <f aca="false">IF(B13="","",B13+'Your details'!$B$18)</f>
        <v/>
      </c>
      <c r="F13" s="15"/>
      <c r="G13" s="28" t="str">
        <f aca="true">IF(B13="","",IF(F13&lt;&gt;"","Paid",IF(TODAY()&gt;E13,"Overdue","Due")))</f>
        <v/>
      </c>
      <c r="H13" s="29" t="str">
        <f aca="true">IF(G13="Overdue",TODAY()-E13,"")</f>
        <v/>
      </c>
    </row>
    <row r="14" customFormat="false" ht="15" hidden="false" customHeight="false" outlineLevel="0" collapsed="false">
      <c r="A14" s="9"/>
      <c r="B14" s="15"/>
      <c r="C14" s="9"/>
      <c r="D14" s="22"/>
      <c r="E14" s="27" t="str">
        <f aca="false">IF(B14="","",B14+'Your details'!$B$18)</f>
        <v/>
      </c>
      <c r="F14" s="15"/>
      <c r="G14" s="28" t="str">
        <f aca="true">IF(B14="","",IF(F14&lt;&gt;"","Paid",IF(TODAY()&gt;E14,"Overdue","Due")))</f>
        <v/>
      </c>
      <c r="H14" s="29" t="str">
        <f aca="true">IF(G14="Overdue",TODAY()-E14,"")</f>
        <v/>
      </c>
    </row>
    <row r="15" customFormat="false" ht="15" hidden="false" customHeight="false" outlineLevel="0" collapsed="false">
      <c r="A15" s="9"/>
      <c r="B15" s="15"/>
      <c r="C15" s="9"/>
      <c r="D15" s="22"/>
      <c r="E15" s="27" t="str">
        <f aca="false">IF(B15="","",B15+'Your details'!$B$18)</f>
        <v/>
      </c>
      <c r="F15" s="15"/>
      <c r="G15" s="28" t="str">
        <f aca="true">IF(B15="","",IF(F15&lt;&gt;"","Paid",IF(TODAY()&gt;E15,"Overdue","Due")))</f>
        <v/>
      </c>
      <c r="H15" s="29" t="str">
        <f aca="true">IF(G15="Overdue",TODAY()-E15,"")</f>
        <v/>
      </c>
    </row>
    <row r="16" customFormat="false" ht="15" hidden="false" customHeight="false" outlineLevel="0" collapsed="false">
      <c r="A16" s="9"/>
      <c r="B16" s="15"/>
      <c r="C16" s="9"/>
      <c r="D16" s="22"/>
      <c r="E16" s="27" t="str">
        <f aca="false">IF(B16="","",B16+'Your details'!$B$18)</f>
        <v/>
      </c>
      <c r="F16" s="15"/>
      <c r="G16" s="28" t="str">
        <f aca="true">IF(B16="","",IF(F16&lt;&gt;"","Paid",IF(TODAY()&gt;E16,"Overdue","Due")))</f>
        <v/>
      </c>
      <c r="H16" s="29" t="str">
        <f aca="true">IF(G16="Overdue",TODAY()-E16,"")</f>
        <v/>
      </c>
    </row>
    <row r="17" customFormat="false" ht="15" hidden="false" customHeight="false" outlineLevel="0" collapsed="false">
      <c r="A17" s="9"/>
      <c r="B17" s="15"/>
      <c r="C17" s="9"/>
      <c r="D17" s="22"/>
      <c r="E17" s="27" t="str">
        <f aca="false">IF(B17="","",B17+'Your details'!$B$18)</f>
        <v/>
      </c>
      <c r="F17" s="15"/>
      <c r="G17" s="28" t="str">
        <f aca="true">IF(B17="","",IF(F17&lt;&gt;"","Paid",IF(TODAY()&gt;E17,"Overdue","Due")))</f>
        <v/>
      </c>
      <c r="H17" s="29" t="str">
        <f aca="true">IF(G17="Overdue",TODAY()-E17,"")</f>
        <v/>
      </c>
    </row>
    <row r="18" customFormat="false" ht="15" hidden="false" customHeight="false" outlineLevel="0" collapsed="false">
      <c r="A18" s="9"/>
      <c r="B18" s="15"/>
      <c r="C18" s="9"/>
      <c r="D18" s="22"/>
      <c r="E18" s="27" t="str">
        <f aca="false">IF(B18="","",B18+'Your details'!$B$18)</f>
        <v/>
      </c>
      <c r="F18" s="15"/>
      <c r="G18" s="28" t="str">
        <f aca="true">IF(B18="","",IF(F18&lt;&gt;"","Paid",IF(TODAY()&gt;E18,"Overdue","Due")))</f>
        <v/>
      </c>
      <c r="H18" s="29" t="str">
        <f aca="true">IF(G18="Overdue",TODAY()-E18,"")</f>
        <v/>
      </c>
    </row>
    <row r="19" customFormat="false" ht="15" hidden="false" customHeight="false" outlineLevel="0" collapsed="false">
      <c r="A19" s="9"/>
      <c r="B19" s="15"/>
      <c r="C19" s="9"/>
      <c r="D19" s="22"/>
      <c r="E19" s="27" t="str">
        <f aca="false">IF(B19="","",B19+'Your details'!$B$18)</f>
        <v/>
      </c>
      <c r="F19" s="15"/>
      <c r="G19" s="28" t="str">
        <f aca="true">IF(B19="","",IF(F19&lt;&gt;"","Paid",IF(TODAY()&gt;E19,"Overdue","Due")))</f>
        <v/>
      </c>
      <c r="H19" s="29" t="str">
        <f aca="true">IF(G19="Overdue",TODAY()-E19,"")</f>
        <v/>
      </c>
    </row>
    <row r="20" customFormat="false" ht="15" hidden="false" customHeight="false" outlineLevel="0" collapsed="false">
      <c r="A20" s="9"/>
      <c r="B20" s="15"/>
      <c r="C20" s="9"/>
      <c r="D20" s="22"/>
      <c r="E20" s="27" t="str">
        <f aca="false">IF(B20="","",B20+'Your details'!$B$18)</f>
        <v/>
      </c>
      <c r="F20" s="15"/>
      <c r="G20" s="28" t="str">
        <f aca="true">IF(B20="","",IF(F20&lt;&gt;"","Paid",IF(TODAY()&gt;E20,"Overdue","Due")))</f>
        <v/>
      </c>
      <c r="H20" s="29" t="str">
        <f aca="true">IF(G20="Overdue",TODAY()-E20,"")</f>
        <v/>
      </c>
    </row>
    <row r="21" customFormat="false" ht="15" hidden="false" customHeight="false" outlineLevel="0" collapsed="false">
      <c r="A21" s="9"/>
      <c r="B21" s="15"/>
      <c r="C21" s="9"/>
      <c r="D21" s="22"/>
      <c r="E21" s="27" t="str">
        <f aca="false">IF(B21="","",B21+'Your details'!$B$18)</f>
        <v/>
      </c>
      <c r="F21" s="15"/>
      <c r="G21" s="28" t="str">
        <f aca="true">IF(B21="","",IF(F21&lt;&gt;"","Paid",IF(TODAY()&gt;E21,"Overdue","Due")))</f>
        <v/>
      </c>
      <c r="H21" s="29" t="str">
        <f aca="true">IF(G21="Overdue",TODAY()-E21,"")</f>
        <v/>
      </c>
    </row>
    <row r="22" customFormat="false" ht="15" hidden="false" customHeight="false" outlineLevel="0" collapsed="false">
      <c r="A22" s="9"/>
      <c r="B22" s="15"/>
      <c r="C22" s="9"/>
      <c r="D22" s="22"/>
      <c r="E22" s="27" t="str">
        <f aca="false">IF(B22="","",B22+'Your details'!$B$18)</f>
        <v/>
      </c>
      <c r="F22" s="15"/>
      <c r="G22" s="28" t="str">
        <f aca="true">IF(B22="","",IF(F22&lt;&gt;"","Paid",IF(TODAY()&gt;E22,"Overdue","Due")))</f>
        <v/>
      </c>
      <c r="H22" s="29" t="str">
        <f aca="true">IF(G22="Overdue",TODAY()-E22,"")</f>
        <v/>
      </c>
    </row>
    <row r="23" customFormat="false" ht="15" hidden="false" customHeight="false" outlineLevel="0" collapsed="false">
      <c r="A23" s="9"/>
      <c r="B23" s="15"/>
      <c r="C23" s="9"/>
      <c r="D23" s="22"/>
      <c r="E23" s="27" t="str">
        <f aca="false">IF(B23="","",B23+'Your details'!$B$18)</f>
        <v/>
      </c>
      <c r="F23" s="15"/>
      <c r="G23" s="28" t="str">
        <f aca="true">IF(B23="","",IF(F23&lt;&gt;"","Paid",IF(TODAY()&gt;E23,"Overdue","Due")))</f>
        <v/>
      </c>
      <c r="H23" s="29" t="str">
        <f aca="true">IF(G23="Overdue",TODAY()-E23,"")</f>
        <v/>
      </c>
    </row>
    <row r="24" customFormat="false" ht="15" hidden="false" customHeight="false" outlineLevel="0" collapsed="false">
      <c r="A24" s="9"/>
      <c r="B24" s="15"/>
      <c r="C24" s="9"/>
      <c r="D24" s="22"/>
      <c r="E24" s="27" t="str">
        <f aca="false">IF(B24="","",B24+'Your details'!$B$18)</f>
        <v/>
      </c>
      <c r="F24" s="15"/>
      <c r="G24" s="28" t="str">
        <f aca="true">IF(B24="","",IF(F24&lt;&gt;"","Paid",IF(TODAY()&gt;E24,"Overdue","Due")))</f>
        <v/>
      </c>
      <c r="H24" s="29" t="str">
        <f aca="true">IF(G24="Overdue",TODAY()-E24,"")</f>
        <v/>
      </c>
    </row>
    <row r="25" customFormat="false" ht="15" hidden="false" customHeight="false" outlineLevel="0" collapsed="false">
      <c r="A25" s="9"/>
      <c r="B25" s="15"/>
      <c r="C25" s="9"/>
      <c r="D25" s="22"/>
      <c r="E25" s="27" t="str">
        <f aca="false">IF(B25="","",B25+'Your details'!$B$18)</f>
        <v/>
      </c>
      <c r="F25" s="15"/>
      <c r="G25" s="28" t="str">
        <f aca="true">IF(B25="","",IF(F25&lt;&gt;"","Paid",IF(TODAY()&gt;E25,"Overdue","Due")))</f>
        <v/>
      </c>
      <c r="H25" s="29" t="str">
        <f aca="true">IF(G25="Overdue",TODAY()-E25,"")</f>
        <v/>
      </c>
    </row>
    <row r="26" customFormat="false" ht="15" hidden="false" customHeight="false" outlineLevel="0" collapsed="false">
      <c r="A26" s="9"/>
      <c r="B26" s="15"/>
      <c r="C26" s="9"/>
      <c r="D26" s="22"/>
      <c r="E26" s="27" t="str">
        <f aca="false">IF(B26="","",B26+'Your details'!$B$18)</f>
        <v/>
      </c>
      <c r="F26" s="15"/>
      <c r="G26" s="28" t="str">
        <f aca="true">IF(B26="","",IF(F26&lt;&gt;"","Paid",IF(TODAY()&gt;E26,"Overdue","Due")))</f>
        <v/>
      </c>
      <c r="H26" s="29" t="str">
        <f aca="true">IF(G26="Overdue",TODAY()-E26,"")</f>
        <v/>
      </c>
    </row>
    <row r="27" customFormat="false" ht="15" hidden="false" customHeight="false" outlineLevel="0" collapsed="false">
      <c r="A27" s="9"/>
      <c r="B27" s="15"/>
      <c r="C27" s="9"/>
      <c r="D27" s="22"/>
      <c r="E27" s="27" t="str">
        <f aca="false">IF(B27="","",B27+'Your details'!$B$18)</f>
        <v/>
      </c>
      <c r="F27" s="15"/>
      <c r="G27" s="28" t="str">
        <f aca="true">IF(B27="","",IF(F27&lt;&gt;"","Paid",IF(TODAY()&gt;E27,"Overdue","Due")))</f>
        <v/>
      </c>
      <c r="H27" s="29" t="str">
        <f aca="true">IF(G27="Overdue",TODAY()-E27,"")</f>
        <v/>
      </c>
    </row>
    <row r="28" customFormat="false" ht="15" hidden="false" customHeight="false" outlineLevel="0" collapsed="false">
      <c r="A28" s="9"/>
      <c r="B28" s="15"/>
      <c r="C28" s="9"/>
      <c r="D28" s="22"/>
      <c r="E28" s="27" t="str">
        <f aca="false">IF(B28="","",B28+'Your details'!$B$18)</f>
        <v/>
      </c>
      <c r="F28" s="15"/>
      <c r="G28" s="28" t="str">
        <f aca="true">IF(B28="","",IF(F28&lt;&gt;"","Paid",IF(TODAY()&gt;E28,"Overdue","Due")))</f>
        <v/>
      </c>
      <c r="H28" s="29" t="str">
        <f aca="true">IF(G28="Overdue",TODAY()-E28,"")</f>
        <v/>
      </c>
    </row>
    <row r="29" customFormat="false" ht="15" hidden="false" customHeight="false" outlineLevel="0" collapsed="false">
      <c r="A29" s="9"/>
      <c r="B29" s="15"/>
      <c r="C29" s="9"/>
      <c r="D29" s="22"/>
      <c r="E29" s="27" t="str">
        <f aca="false">IF(B29="","",B29+'Your details'!$B$18)</f>
        <v/>
      </c>
      <c r="F29" s="15"/>
      <c r="G29" s="28" t="str">
        <f aca="true">IF(B29="","",IF(F29&lt;&gt;"","Paid",IF(TODAY()&gt;E29,"Overdue","Due")))</f>
        <v/>
      </c>
      <c r="H29" s="29" t="str">
        <f aca="true">IF(G29="Overdue",TODAY()-E29,"")</f>
        <v/>
      </c>
    </row>
    <row r="30" customFormat="false" ht="15" hidden="false" customHeight="false" outlineLevel="0" collapsed="false">
      <c r="A30" s="9"/>
      <c r="B30" s="15"/>
      <c r="C30" s="9"/>
      <c r="D30" s="22"/>
      <c r="E30" s="27" t="str">
        <f aca="false">IF(B30="","",B30+'Your details'!$B$18)</f>
        <v/>
      </c>
      <c r="F30" s="15"/>
      <c r="G30" s="28" t="str">
        <f aca="true">IF(B30="","",IF(F30&lt;&gt;"","Paid",IF(TODAY()&gt;E30,"Overdue","Due")))</f>
        <v/>
      </c>
      <c r="H30" s="29" t="str">
        <f aca="true">IF(G30="Overdue",TODAY()-E30,"")</f>
        <v/>
      </c>
    </row>
    <row r="31" customFormat="false" ht="15" hidden="false" customHeight="false" outlineLevel="0" collapsed="false">
      <c r="A31" s="9"/>
      <c r="B31" s="15"/>
      <c r="C31" s="9"/>
      <c r="D31" s="22"/>
      <c r="E31" s="27" t="str">
        <f aca="false">IF(B31="","",B31+'Your details'!$B$18)</f>
        <v/>
      </c>
      <c r="F31" s="15"/>
      <c r="G31" s="28" t="str">
        <f aca="true">IF(B31="","",IF(F31&lt;&gt;"","Paid",IF(TODAY()&gt;E31,"Overdue","Due")))</f>
        <v/>
      </c>
      <c r="H31" s="29" t="str">
        <f aca="true">IF(G31="Overdue",TODAY()-E31,"")</f>
        <v/>
      </c>
    </row>
    <row r="32" customFormat="false" ht="15" hidden="false" customHeight="false" outlineLevel="0" collapsed="false">
      <c r="A32" s="9"/>
      <c r="B32" s="15"/>
      <c r="C32" s="9"/>
      <c r="D32" s="22"/>
      <c r="E32" s="27" t="str">
        <f aca="false">IF(B32="","",B32+'Your details'!$B$18)</f>
        <v/>
      </c>
      <c r="F32" s="15"/>
      <c r="G32" s="28" t="str">
        <f aca="true">IF(B32="","",IF(F32&lt;&gt;"","Paid",IF(TODAY()&gt;E32,"Overdue","Due")))</f>
        <v/>
      </c>
      <c r="H32" s="29" t="str">
        <f aca="true">IF(G32="Overdue",TODAY()-E32,"")</f>
        <v/>
      </c>
    </row>
    <row r="33" customFormat="false" ht="15" hidden="false" customHeight="false" outlineLevel="0" collapsed="false">
      <c r="A33" s="9"/>
      <c r="B33" s="15"/>
      <c r="C33" s="9"/>
      <c r="D33" s="22"/>
      <c r="E33" s="27" t="str">
        <f aca="false">IF(B33="","",B33+'Your details'!$B$18)</f>
        <v/>
      </c>
      <c r="F33" s="15"/>
      <c r="G33" s="28" t="str">
        <f aca="true">IF(B33="","",IF(F33&lt;&gt;"","Paid",IF(TODAY()&gt;E33,"Overdue","Due")))</f>
        <v/>
      </c>
      <c r="H33" s="29" t="str">
        <f aca="true">IF(G33="Overdue",TODAY()-E33,"")</f>
        <v/>
      </c>
    </row>
    <row r="34" customFormat="false" ht="15" hidden="false" customHeight="false" outlineLevel="0" collapsed="false">
      <c r="A34" s="9"/>
      <c r="B34" s="15"/>
      <c r="C34" s="9"/>
      <c r="D34" s="22"/>
      <c r="E34" s="27" t="str">
        <f aca="false">IF(B34="","",B34+'Your details'!$B$18)</f>
        <v/>
      </c>
      <c r="F34" s="15"/>
      <c r="G34" s="28" t="str">
        <f aca="true">IF(B34="","",IF(F34&lt;&gt;"","Paid",IF(TODAY()&gt;E34,"Overdue","Due")))</f>
        <v/>
      </c>
      <c r="H34" s="29" t="str">
        <f aca="true">IF(G34="Overdue",TODAY()-E34,"")</f>
        <v/>
      </c>
    </row>
    <row r="35" customFormat="false" ht="15" hidden="false" customHeight="false" outlineLevel="0" collapsed="false">
      <c r="A35" s="9"/>
      <c r="B35" s="15"/>
      <c r="C35" s="9"/>
      <c r="D35" s="22"/>
      <c r="E35" s="27" t="str">
        <f aca="false">IF(B35="","",B35+'Your details'!$B$18)</f>
        <v/>
      </c>
      <c r="F35" s="15"/>
      <c r="G35" s="28" t="str">
        <f aca="true">IF(B35="","",IF(F35&lt;&gt;"","Paid",IF(TODAY()&gt;E35,"Overdue","Due")))</f>
        <v/>
      </c>
      <c r="H35" s="29" t="str">
        <f aca="true">IF(G35="Overdue",TODAY()-E35,"")</f>
        <v/>
      </c>
    </row>
    <row r="36" customFormat="false" ht="15" hidden="false" customHeight="false" outlineLevel="0" collapsed="false">
      <c r="A36" s="9"/>
      <c r="B36" s="15"/>
      <c r="C36" s="9"/>
      <c r="D36" s="22"/>
      <c r="E36" s="27" t="str">
        <f aca="false">IF(B36="","",B36+'Your details'!$B$18)</f>
        <v/>
      </c>
      <c r="F36" s="15"/>
      <c r="G36" s="28" t="str">
        <f aca="true">IF(B36="","",IF(F36&lt;&gt;"","Paid",IF(TODAY()&gt;E36,"Overdue","Due")))</f>
        <v/>
      </c>
      <c r="H36" s="29" t="str">
        <f aca="true">IF(G36="Overdue",TODAY()-E36,"")</f>
        <v/>
      </c>
    </row>
    <row r="37" customFormat="false" ht="15" hidden="false" customHeight="false" outlineLevel="0" collapsed="false">
      <c r="A37" s="9"/>
      <c r="B37" s="15"/>
      <c r="C37" s="9"/>
      <c r="D37" s="22"/>
      <c r="E37" s="27" t="str">
        <f aca="false">IF(B37="","",B37+'Your details'!$B$18)</f>
        <v/>
      </c>
      <c r="F37" s="15"/>
      <c r="G37" s="28" t="str">
        <f aca="true">IF(B37="","",IF(F37&lt;&gt;"","Paid",IF(TODAY()&gt;E37,"Overdue","Due")))</f>
        <v/>
      </c>
      <c r="H37" s="29" t="str">
        <f aca="true">IF(G37="Overdue",TODAY()-E37,"")</f>
        <v/>
      </c>
    </row>
    <row r="38" customFormat="false" ht="15" hidden="false" customHeight="false" outlineLevel="0" collapsed="false">
      <c r="A38" s="9"/>
      <c r="B38" s="15"/>
      <c r="C38" s="9"/>
      <c r="D38" s="22"/>
      <c r="E38" s="27" t="str">
        <f aca="false">IF(B38="","",B38+'Your details'!$B$18)</f>
        <v/>
      </c>
      <c r="F38" s="15"/>
      <c r="G38" s="28" t="str">
        <f aca="true">IF(B38="","",IF(F38&lt;&gt;"","Paid",IF(TODAY()&gt;E38,"Overdue","Due")))</f>
        <v/>
      </c>
      <c r="H38" s="29" t="str">
        <f aca="true">IF(G38="Overdue",TODAY()-E38,"")</f>
        <v/>
      </c>
    </row>
    <row r="39" customFormat="false" ht="15" hidden="false" customHeight="false" outlineLevel="0" collapsed="false">
      <c r="A39" s="9"/>
      <c r="B39" s="15"/>
      <c r="C39" s="9"/>
      <c r="D39" s="22"/>
      <c r="E39" s="27" t="str">
        <f aca="false">IF(B39="","",B39+'Your details'!$B$18)</f>
        <v/>
      </c>
      <c r="F39" s="15"/>
      <c r="G39" s="28" t="str">
        <f aca="true">IF(B39="","",IF(F39&lt;&gt;"","Paid",IF(TODAY()&gt;E39,"Overdue","Due")))</f>
        <v/>
      </c>
      <c r="H39" s="29" t="str">
        <f aca="true">IF(G39="Overdue",TODAY()-E39,"")</f>
        <v/>
      </c>
    </row>
    <row r="40" customFormat="false" ht="15" hidden="false" customHeight="false" outlineLevel="0" collapsed="false">
      <c r="A40" s="9"/>
      <c r="B40" s="15"/>
      <c r="C40" s="9"/>
      <c r="D40" s="22"/>
      <c r="E40" s="27" t="str">
        <f aca="false">IF(B40="","",B40+'Your details'!$B$18)</f>
        <v/>
      </c>
      <c r="F40" s="15"/>
      <c r="G40" s="28" t="str">
        <f aca="true">IF(B40="","",IF(F40&lt;&gt;"","Paid",IF(TODAY()&gt;E40,"Overdue","Due")))</f>
        <v/>
      </c>
      <c r="H40" s="29" t="str">
        <f aca="true">IF(G40="Overdue",TODAY()-E40,"")</f>
        <v/>
      </c>
    </row>
    <row r="41" customFormat="false" ht="15" hidden="false" customHeight="false" outlineLevel="0" collapsed="false">
      <c r="A41" s="9"/>
      <c r="B41" s="15"/>
      <c r="C41" s="9"/>
      <c r="D41" s="22"/>
      <c r="E41" s="27" t="str">
        <f aca="false">IF(B41="","",B41+'Your details'!$B$18)</f>
        <v/>
      </c>
      <c r="F41" s="15"/>
      <c r="G41" s="28" t="str">
        <f aca="true">IF(B41="","",IF(F41&lt;&gt;"","Paid",IF(TODAY()&gt;E41,"Overdue","Due")))</f>
        <v/>
      </c>
      <c r="H41" s="29" t="str">
        <f aca="true">IF(G41="Overdue",TODAY()-E41,"")</f>
        <v/>
      </c>
    </row>
    <row r="42" customFormat="false" ht="15" hidden="false" customHeight="false" outlineLevel="0" collapsed="false">
      <c r="A42" s="9"/>
      <c r="B42" s="15"/>
      <c r="C42" s="9"/>
      <c r="D42" s="22"/>
      <c r="E42" s="27" t="str">
        <f aca="false">IF(B42="","",B42+'Your details'!$B$18)</f>
        <v/>
      </c>
      <c r="F42" s="15"/>
      <c r="G42" s="28" t="str">
        <f aca="true">IF(B42="","",IF(F42&lt;&gt;"","Paid",IF(TODAY()&gt;E42,"Overdue","Due")))</f>
        <v/>
      </c>
      <c r="H42" s="29" t="str">
        <f aca="true">IF(G42="Overdue",TODAY()-E42,"")</f>
        <v/>
      </c>
    </row>
    <row r="43" customFormat="false" ht="15" hidden="false" customHeight="false" outlineLevel="0" collapsed="false">
      <c r="A43" s="9"/>
      <c r="B43" s="15"/>
      <c r="C43" s="9"/>
      <c r="D43" s="22"/>
      <c r="E43" s="27" t="str">
        <f aca="false">IF(B43="","",B43+'Your details'!$B$18)</f>
        <v/>
      </c>
      <c r="F43" s="15"/>
      <c r="G43" s="28" t="str">
        <f aca="true">IF(B43="","",IF(F43&lt;&gt;"","Paid",IF(TODAY()&gt;E43,"Overdue","Due")))</f>
        <v/>
      </c>
      <c r="H43" s="29" t="str">
        <f aca="true">IF(G43="Overdue",TODAY()-E43,"")</f>
        <v/>
      </c>
    </row>
    <row r="44" customFormat="false" ht="15" hidden="false" customHeight="false" outlineLevel="0" collapsed="false">
      <c r="A44" s="9"/>
      <c r="B44" s="15"/>
      <c r="C44" s="9"/>
      <c r="D44" s="22"/>
      <c r="E44" s="27" t="str">
        <f aca="false">IF(B44="","",B44+'Your details'!$B$18)</f>
        <v/>
      </c>
      <c r="F44" s="15"/>
      <c r="G44" s="28" t="str">
        <f aca="true">IF(B44="","",IF(F44&lt;&gt;"","Paid",IF(TODAY()&gt;E44,"Overdue","Due")))</f>
        <v/>
      </c>
      <c r="H44" s="29" t="str">
        <f aca="true">IF(G44="Overdue",TODAY()-E44,"")</f>
        <v/>
      </c>
    </row>
    <row r="45" customFormat="false" ht="15" hidden="false" customHeight="false" outlineLevel="0" collapsed="false">
      <c r="A45" s="9"/>
      <c r="B45" s="15"/>
      <c r="C45" s="9"/>
      <c r="D45" s="22"/>
      <c r="E45" s="27" t="str">
        <f aca="false">IF(B45="","",B45+'Your details'!$B$18)</f>
        <v/>
      </c>
      <c r="F45" s="15"/>
      <c r="G45" s="28" t="str">
        <f aca="true">IF(B45="","",IF(F45&lt;&gt;"","Paid",IF(TODAY()&gt;E45,"Overdue","Due")))</f>
        <v/>
      </c>
      <c r="H45" s="29" t="str">
        <f aca="true">IF(G45="Overdue",TODAY()-E45,"")</f>
        <v/>
      </c>
    </row>
    <row r="46" customFormat="false" ht="15" hidden="false" customHeight="false" outlineLevel="0" collapsed="false">
      <c r="A46" s="9"/>
      <c r="B46" s="15"/>
      <c r="C46" s="9"/>
      <c r="D46" s="22"/>
      <c r="E46" s="27" t="str">
        <f aca="false">IF(B46="","",B46+'Your details'!$B$18)</f>
        <v/>
      </c>
      <c r="F46" s="15"/>
      <c r="G46" s="28" t="str">
        <f aca="true">IF(B46="","",IF(F46&lt;&gt;"","Paid",IF(TODAY()&gt;E46,"Overdue","Due")))</f>
        <v/>
      </c>
      <c r="H46" s="29" t="str">
        <f aca="true">IF(G46="Overdue",TODAY()-E46,"")</f>
        <v/>
      </c>
    </row>
    <row r="47" customFormat="false" ht="15" hidden="false" customHeight="false" outlineLevel="0" collapsed="false">
      <c r="A47" s="9"/>
      <c r="B47" s="15"/>
      <c r="C47" s="9"/>
      <c r="D47" s="22"/>
      <c r="E47" s="27" t="str">
        <f aca="false">IF(B47="","",B47+'Your details'!$B$18)</f>
        <v/>
      </c>
      <c r="F47" s="15"/>
      <c r="G47" s="28" t="str">
        <f aca="true">IF(B47="","",IF(F47&lt;&gt;"","Paid",IF(TODAY()&gt;E47,"Overdue","Due")))</f>
        <v/>
      </c>
      <c r="H47" s="29" t="str">
        <f aca="true">IF(G47="Overdue",TODAY()-E47,"")</f>
        <v/>
      </c>
    </row>
    <row r="48" customFormat="false" ht="15" hidden="false" customHeight="false" outlineLevel="0" collapsed="false">
      <c r="A48" s="9"/>
      <c r="B48" s="15"/>
      <c r="C48" s="9"/>
      <c r="D48" s="22"/>
      <c r="E48" s="27" t="str">
        <f aca="false">IF(B48="","",B48+'Your details'!$B$18)</f>
        <v/>
      </c>
      <c r="F48" s="15"/>
      <c r="G48" s="28" t="str">
        <f aca="true">IF(B48="","",IF(F48&lt;&gt;"","Paid",IF(TODAY()&gt;E48,"Overdue","Due")))</f>
        <v/>
      </c>
      <c r="H48" s="29" t="str">
        <f aca="true">IF(G48="Overdue",TODAY()-E48,"")</f>
        <v/>
      </c>
    </row>
    <row r="49" customFormat="false" ht="15" hidden="false" customHeight="false" outlineLevel="0" collapsed="false">
      <c r="A49" s="9"/>
      <c r="B49" s="15"/>
      <c r="C49" s="9"/>
      <c r="D49" s="22"/>
      <c r="E49" s="27" t="str">
        <f aca="false">IF(B49="","",B49+'Your details'!$B$18)</f>
        <v/>
      </c>
      <c r="F49" s="15"/>
      <c r="G49" s="28" t="str">
        <f aca="true">IF(B49="","",IF(F49&lt;&gt;"","Paid",IF(TODAY()&gt;E49,"Overdue","Due")))</f>
        <v/>
      </c>
      <c r="H49" s="29" t="str">
        <f aca="true">IF(G49="Overdue",TODAY()-E49,"")</f>
        <v/>
      </c>
    </row>
    <row r="50" customFormat="false" ht="15" hidden="false" customHeight="false" outlineLevel="0" collapsed="false">
      <c r="A50" s="9"/>
      <c r="B50" s="15"/>
      <c r="C50" s="9"/>
      <c r="D50" s="22"/>
      <c r="E50" s="27" t="str">
        <f aca="false">IF(B50="","",B50+'Your details'!$B$18)</f>
        <v/>
      </c>
      <c r="F50" s="15"/>
      <c r="G50" s="28" t="str">
        <f aca="true">IF(B50="","",IF(F50&lt;&gt;"","Paid",IF(TODAY()&gt;E50,"Overdue","Due")))</f>
        <v/>
      </c>
      <c r="H50" s="29" t="str">
        <f aca="true">IF(G50="Overdue",TODAY()-E50,"")</f>
        <v/>
      </c>
    </row>
    <row r="51" customFormat="false" ht="15" hidden="false" customHeight="false" outlineLevel="0" collapsed="false">
      <c r="A51" s="9"/>
      <c r="B51" s="15"/>
      <c r="C51" s="9"/>
      <c r="D51" s="22"/>
      <c r="E51" s="27" t="str">
        <f aca="false">IF(B51="","",B51+'Your details'!$B$18)</f>
        <v/>
      </c>
      <c r="F51" s="15"/>
      <c r="G51" s="28" t="str">
        <f aca="true">IF(B51="","",IF(F51&lt;&gt;"","Paid",IF(TODAY()&gt;E51,"Overdue","Due")))</f>
        <v/>
      </c>
      <c r="H51" s="29" t="str">
        <f aca="true">IF(G51="Overdue",TODAY()-E51,"")</f>
        <v/>
      </c>
    </row>
    <row r="52" customFormat="false" ht="15" hidden="false" customHeight="false" outlineLevel="0" collapsed="false">
      <c r="A52" s="9"/>
      <c r="B52" s="15"/>
      <c r="C52" s="9"/>
      <c r="D52" s="22"/>
      <c r="E52" s="27" t="str">
        <f aca="false">IF(B52="","",B52+'Your details'!$B$18)</f>
        <v/>
      </c>
      <c r="F52" s="15"/>
      <c r="G52" s="28" t="str">
        <f aca="true">IF(B52="","",IF(F52&lt;&gt;"","Paid",IF(TODAY()&gt;E52,"Overdue","Due")))</f>
        <v/>
      </c>
      <c r="H52" s="29" t="str">
        <f aca="true">IF(G52="Overdue",TODAY()-E52,"")</f>
        <v/>
      </c>
    </row>
    <row r="53" customFormat="false" ht="15" hidden="false" customHeight="false" outlineLevel="0" collapsed="false">
      <c r="A53" s="9"/>
      <c r="B53" s="15"/>
      <c r="C53" s="9"/>
      <c r="D53" s="22"/>
      <c r="E53" s="27" t="str">
        <f aca="false">IF(B53="","",B53+'Your details'!$B$18)</f>
        <v/>
      </c>
      <c r="F53" s="15"/>
      <c r="G53" s="28" t="str">
        <f aca="true">IF(B53="","",IF(F53&lt;&gt;"","Paid",IF(TODAY()&gt;E53,"Overdue","Due")))</f>
        <v/>
      </c>
      <c r="H53" s="29" t="str">
        <f aca="true">IF(G53="Overdue",TODAY()-E53,"")</f>
        <v/>
      </c>
    </row>
    <row r="54" customFormat="false" ht="15" hidden="false" customHeight="false" outlineLevel="0" collapsed="false">
      <c r="A54" s="9"/>
      <c r="B54" s="15"/>
      <c r="C54" s="9"/>
      <c r="D54" s="22"/>
      <c r="E54" s="27" t="str">
        <f aca="false">IF(B54="","",B54+'Your details'!$B$18)</f>
        <v/>
      </c>
      <c r="F54" s="15"/>
      <c r="G54" s="28" t="str">
        <f aca="true">IF(B54="","",IF(F54&lt;&gt;"","Paid",IF(TODAY()&gt;E54,"Overdue","Due")))</f>
        <v/>
      </c>
      <c r="H54" s="29" t="str">
        <f aca="true">IF(G54="Overdue",TODAY()-E54,"")</f>
        <v/>
      </c>
    </row>
    <row r="55" customFormat="false" ht="15" hidden="false" customHeight="false" outlineLevel="0" collapsed="false">
      <c r="A55" s="9"/>
      <c r="B55" s="15"/>
      <c r="C55" s="9"/>
      <c r="D55" s="22"/>
      <c r="E55" s="27" t="str">
        <f aca="false">IF(B55="","",B55+'Your details'!$B$18)</f>
        <v/>
      </c>
      <c r="F55" s="15"/>
      <c r="G55" s="28" t="str">
        <f aca="true">IF(B55="","",IF(F55&lt;&gt;"","Paid",IF(TODAY()&gt;E55,"Overdue","Due")))</f>
        <v/>
      </c>
      <c r="H55" s="29" t="str">
        <f aca="true">IF(G55="Overdue",TODAY()-E55,"")</f>
        <v/>
      </c>
    </row>
    <row r="56" customFormat="false" ht="15" hidden="false" customHeight="false" outlineLevel="0" collapsed="false">
      <c r="A56" s="9"/>
      <c r="B56" s="15"/>
      <c r="C56" s="9"/>
      <c r="D56" s="22"/>
      <c r="E56" s="27" t="str">
        <f aca="false">IF(B56="","",B56+'Your details'!$B$18)</f>
        <v/>
      </c>
      <c r="F56" s="15"/>
      <c r="G56" s="28" t="str">
        <f aca="true">IF(B56="","",IF(F56&lt;&gt;"","Paid",IF(TODAY()&gt;E56,"Overdue","Due")))</f>
        <v/>
      </c>
      <c r="H56" s="29" t="str">
        <f aca="true">IF(G56="Overdue",TODAY()-E56,"")</f>
        <v/>
      </c>
    </row>
    <row r="57" customFormat="false" ht="15" hidden="false" customHeight="false" outlineLevel="0" collapsed="false">
      <c r="A57" s="9"/>
      <c r="B57" s="15"/>
      <c r="C57" s="9"/>
      <c r="D57" s="22"/>
      <c r="E57" s="27" t="str">
        <f aca="false">IF(B57="","",B57+'Your details'!$B$18)</f>
        <v/>
      </c>
      <c r="F57" s="15"/>
      <c r="G57" s="28" t="str">
        <f aca="true">IF(B57="","",IF(F57&lt;&gt;"","Paid",IF(TODAY()&gt;E57,"Overdue","Due")))</f>
        <v/>
      </c>
      <c r="H57" s="29" t="str">
        <f aca="true">IF(G57="Overdue",TODAY()-E57,"")</f>
        <v/>
      </c>
    </row>
    <row r="58" customFormat="false" ht="15" hidden="false" customHeight="false" outlineLevel="0" collapsed="false">
      <c r="A58" s="9"/>
      <c r="B58" s="15"/>
      <c r="C58" s="9"/>
      <c r="D58" s="22"/>
      <c r="E58" s="27" t="str">
        <f aca="false">IF(B58="","",B58+'Your details'!$B$18)</f>
        <v/>
      </c>
      <c r="F58" s="15"/>
      <c r="G58" s="28" t="str">
        <f aca="true">IF(B58="","",IF(F58&lt;&gt;"","Paid",IF(TODAY()&gt;E58,"Overdue","Due")))</f>
        <v/>
      </c>
      <c r="H58" s="29" t="str">
        <f aca="true">IF(G58="Overdue",TODAY()-E58,"")</f>
        <v/>
      </c>
    </row>
    <row r="59" customFormat="false" ht="15" hidden="false" customHeight="false" outlineLevel="0" collapsed="false">
      <c r="A59" s="9"/>
      <c r="B59" s="15"/>
      <c r="C59" s="9"/>
      <c r="D59" s="22"/>
      <c r="E59" s="27" t="str">
        <f aca="false">IF(B59="","",B59+'Your details'!$B$18)</f>
        <v/>
      </c>
      <c r="F59" s="15"/>
      <c r="G59" s="28" t="str">
        <f aca="true">IF(B59="","",IF(F59&lt;&gt;"","Paid",IF(TODAY()&gt;E59,"Overdue","Due")))</f>
        <v/>
      </c>
      <c r="H59" s="29" t="str">
        <f aca="true">IF(G59="Overdue",TODAY()-E59,"")</f>
        <v/>
      </c>
    </row>
    <row r="60" customFormat="false" ht="15" hidden="false" customHeight="false" outlineLevel="0" collapsed="false">
      <c r="A60" s="9"/>
      <c r="B60" s="15"/>
      <c r="C60" s="9"/>
      <c r="D60" s="22"/>
      <c r="E60" s="27" t="str">
        <f aca="false">IF(B60="","",B60+'Your details'!$B$18)</f>
        <v/>
      </c>
      <c r="F60" s="15"/>
      <c r="G60" s="28" t="str">
        <f aca="true">IF(B60="","",IF(F60&lt;&gt;"","Paid",IF(TODAY()&gt;E60,"Overdue","Due")))</f>
        <v/>
      </c>
      <c r="H60" s="29" t="str">
        <f aca="true">IF(G60="Overdue",TODAY()-E60,"")</f>
        <v/>
      </c>
    </row>
    <row r="61" customFormat="false" ht="15" hidden="false" customHeight="false" outlineLevel="0" collapsed="false">
      <c r="A61" s="9"/>
      <c r="B61" s="15"/>
      <c r="C61" s="9"/>
      <c r="D61" s="22"/>
      <c r="E61" s="27" t="str">
        <f aca="false">IF(B61="","",B61+'Your details'!$B$18)</f>
        <v/>
      </c>
      <c r="F61" s="15"/>
      <c r="G61" s="28" t="str">
        <f aca="true">IF(B61="","",IF(F61&lt;&gt;"","Paid",IF(TODAY()&gt;E61,"Overdue","Due")))</f>
        <v/>
      </c>
      <c r="H61" s="29" t="str">
        <f aca="true">IF(G61="Overdue",TODAY()-E61,"")</f>
        <v/>
      </c>
    </row>
    <row r="62" customFormat="false" ht="15" hidden="false" customHeight="false" outlineLevel="0" collapsed="false">
      <c r="A62" s="9"/>
      <c r="B62" s="15"/>
      <c r="C62" s="9"/>
      <c r="D62" s="22"/>
      <c r="E62" s="27" t="str">
        <f aca="false">IF(B62="","",B62+'Your details'!$B$18)</f>
        <v/>
      </c>
      <c r="F62" s="15"/>
      <c r="G62" s="28" t="str">
        <f aca="true">IF(B62="","",IF(F62&lt;&gt;"","Paid",IF(TODAY()&gt;E62,"Overdue","Due")))</f>
        <v/>
      </c>
      <c r="H62" s="29" t="str">
        <f aca="true">IF(G62="Overdue",TODAY()-E62,"")</f>
        <v/>
      </c>
    </row>
    <row r="63" customFormat="false" ht="15" hidden="false" customHeight="false" outlineLevel="0" collapsed="false">
      <c r="A63" s="9"/>
      <c r="B63" s="15"/>
      <c r="C63" s="9"/>
      <c r="D63" s="22"/>
      <c r="E63" s="27" t="str">
        <f aca="false">IF(B63="","",B63+'Your details'!$B$18)</f>
        <v/>
      </c>
      <c r="F63" s="15"/>
      <c r="G63" s="28" t="str">
        <f aca="true">IF(B63="","",IF(F63&lt;&gt;"","Paid",IF(TODAY()&gt;E63,"Overdue","Due")))</f>
        <v/>
      </c>
      <c r="H63" s="29" t="str">
        <f aca="true">IF(G63="Overdue",TODAY()-E63,"")</f>
        <v/>
      </c>
    </row>
    <row r="64" customFormat="false" ht="15" hidden="false" customHeight="false" outlineLevel="0" collapsed="false">
      <c r="A64" s="9"/>
      <c r="B64" s="15"/>
      <c r="C64" s="9"/>
      <c r="D64" s="22"/>
      <c r="E64" s="27" t="str">
        <f aca="false">IF(B64="","",B64+'Your details'!$B$18)</f>
        <v/>
      </c>
      <c r="F64" s="15"/>
      <c r="G64" s="28" t="str">
        <f aca="true">IF(B64="","",IF(F64&lt;&gt;"","Paid",IF(TODAY()&gt;E64,"Overdue","Due")))</f>
        <v/>
      </c>
      <c r="H64" s="29" t="str">
        <f aca="true">IF(G64="Overdue",TODAY()-E64,"")</f>
        <v/>
      </c>
    </row>
    <row r="65" customFormat="false" ht="15" hidden="false" customHeight="false" outlineLevel="0" collapsed="false">
      <c r="A65" s="9"/>
      <c r="B65" s="15"/>
      <c r="C65" s="9"/>
      <c r="D65" s="22"/>
      <c r="E65" s="27" t="str">
        <f aca="false">IF(B65="","",B65+'Your details'!$B$18)</f>
        <v/>
      </c>
      <c r="F65" s="15"/>
      <c r="G65" s="28" t="str">
        <f aca="true">IF(B65="","",IF(F65&lt;&gt;"","Paid",IF(TODAY()&gt;E65,"Overdue","Due")))</f>
        <v/>
      </c>
      <c r="H65" s="29" t="str">
        <f aca="true">IF(G65="Overdue",TODAY()-E65,"")</f>
        <v/>
      </c>
    </row>
    <row r="66" customFormat="false" ht="15" hidden="false" customHeight="false" outlineLevel="0" collapsed="false">
      <c r="A66" s="9"/>
      <c r="B66" s="15"/>
      <c r="C66" s="9"/>
      <c r="D66" s="22"/>
      <c r="E66" s="27" t="str">
        <f aca="false">IF(B66="","",B66+'Your details'!$B$18)</f>
        <v/>
      </c>
      <c r="F66" s="15"/>
      <c r="G66" s="28" t="str">
        <f aca="true">IF(B66="","",IF(F66&lt;&gt;"","Paid",IF(TODAY()&gt;E66,"Overdue","Due")))</f>
        <v/>
      </c>
      <c r="H66" s="29" t="str">
        <f aca="true">IF(G66="Overdue",TODAY()-E66,"")</f>
        <v/>
      </c>
    </row>
    <row r="67" customFormat="false" ht="15" hidden="false" customHeight="false" outlineLevel="0" collapsed="false">
      <c r="A67" s="9"/>
      <c r="B67" s="15"/>
      <c r="C67" s="9"/>
      <c r="D67" s="22"/>
      <c r="E67" s="27" t="str">
        <f aca="false">IF(B67="","",B67+'Your details'!$B$18)</f>
        <v/>
      </c>
      <c r="F67" s="15"/>
      <c r="G67" s="28" t="str">
        <f aca="true">IF(B67="","",IF(F67&lt;&gt;"","Paid",IF(TODAY()&gt;E67,"Overdue","Due")))</f>
        <v/>
      </c>
      <c r="H67" s="29" t="str">
        <f aca="true">IF(G67="Overdue",TODAY()-E67,"")</f>
        <v/>
      </c>
    </row>
    <row r="68" customFormat="false" ht="15" hidden="false" customHeight="false" outlineLevel="0" collapsed="false">
      <c r="A68" s="9"/>
      <c r="B68" s="15"/>
      <c r="C68" s="9"/>
      <c r="D68" s="22"/>
      <c r="E68" s="27" t="str">
        <f aca="false">IF(B68="","",B68+'Your details'!$B$18)</f>
        <v/>
      </c>
      <c r="F68" s="15"/>
      <c r="G68" s="28" t="str">
        <f aca="true">IF(B68="","",IF(F68&lt;&gt;"","Paid",IF(TODAY()&gt;E68,"Overdue","Due")))</f>
        <v/>
      </c>
      <c r="H68" s="29" t="str">
        <f aca="true">IF(G68="Overdue",TODAY()-E68,"")</f>
        <v/>
      </c>
    </row>
    <row r="69" customFormat="false" ht="15" hidden="false" customHeight="false" outlineLevel="0" collapsed="false">
      <c r="A69" s="9"/>
      <c r="B69" s="15"/>
      <c r="C69" s="9"/>
      <c r="D69" s="22"/>
      <c r="E69" s="27" t="str">
        <f aca="false">IF(B69="","",B69+'Your details'!$B$18)</f>
        <v/>
      </c>
      <c r="F69" s="15"/>
      <c r="G69" s="28" t="str">
        <f aca="true">IF(B69="","",IF(F69&lt;&gt;"","Paid",IF(TODAY()&gt;E69,"Overdue","Due")))</f>
        <v/>
      </c>
      <c r="H69" s="29" t="str">
        <f aca="true">IF(G69="Overdue",TODAY()-E69,"")</f>
        <v/>
      </c>
    </row>
    <row r="70" customFormat="false" ht="15" hidden="false" customHeight="false" outlineLevel="0" collapsed="false">
      <c r="A70" s="9"/>
      <c r="B70" s="15"/>
      <c r="C70" s="9"/>
      <c r="D70" s="22"/>
      <c r="E70" s="27" t="str">
        <f aca="false">IF(B70="","",B70+'Your details'!$B$18)</f>
        <v/>
      </c>
      <c r="F70" s="15"/>
      <c r="G70" s="28" t="str">
        <f aca="true">IF(B70="","",IF(F70&lt;&gt;"","Paid",IF(TODAY()&gt;E70,"Overdue","Due")))</f>
        <v/>
      </c>
      <c r="H70" s="29" t="str">
        <f aca="true">IF(G70="Overdue",TODAY()-E70,"")</f>
        <v/>
      </c>
    </row>
    <row r="71" customFormat="false" ht="15" hidden="false" customHeight="false" outlineLevel="0" collapsed="false">
      <c r="A71" s="9"/>
      <c r="B71" s="15"/>
      <c r="C71" s="9"/>
      <c r="D71" s="22"/>
      <c r="E71" s="27" t="str">
        <f aca="false">IF(B71="","",B71+'Your details'!$B$18)</f>
        <v/>
      </c>
      <c r="F71" s="15"/>
      <c r="G71" s="28" t="str">
        <f aca="true">IF(B71="","",IF(F71&lt;&gt;"","Paid",IF(TODAY()&gt;E71,"Overdue","Due")))</f>
        <v/>
      </c>
      <c r="H71" s="29" t="str">
        <f aca="true">IF(G71="Overdue",TODAY()-E71,"")</f>
        <v/>
      </c>
    </row>
    <row r="72" customFormat="false" ht="15" hidden="false" customHeight="false" outlineLevel="0" collapsed="false">
      <c r="A72" s="9"/>
      <c r="B72" s="15"/>
      <c r="C72" s="9"/>
      <c r="D72" s="22"/>
      <c r="E72" s="27" t="str">
        <f aca="false">IF(B72="","",B72+'Your details'!$B$18)</f>
        <v/>
      </c>
      <c r="F72" s="15"/>
      <c r="G72" s="28" t="str">
        <f aca="true">IF(B72="","",IF(F72&lt;&gt;"","Paid",IF(TODAY()&gt;E72,"Overdue","Due")))</f>
        <v/>
      </c>
      <c r="H72" s="29" t="str">
        <f aca="true">IF(G72="Overdue",TODAY()-E72,"")</f>
        <v/>
      </c>
    </row>
    <row r="73" customFormat="false" ht="15" hidden="false" customHeight="false" outlineLevel="0" collapsed="false">
      <c r="A73" s="9"/>
      <c r="B73" s="15"/>
      <c r="C73" s="9"/>
      <c r="D73" s="22"/>
      <c r="E73" s="27" t="str">
        <f aca="false">IF(B73="","",B73+'Your details'!$B$18)</f>
        <v/>
      </c>
      <c r="F73" s="15"/>
      <c r="G73" s="28" t="str">
        <f aca="true">IF(B73="","",IF(F73&lt;&gt;"","Paid",IF(TODAY()&gt;E73,"Overdue","Due")))</f>
        <v/>
      </c>
      <c r="H73" s="29" t="str">
        <f aca="true">IF(G73="Overdue",TODAY()-E73,"")</f>
        <v/>
      </c>
    </row>
    <row r="74" customFormat="false" ht="15" hidden="false" customHeight="false" outlineLevel="0" collapsed="false">
      <c r="A74" s="9"/>
      <c r="B74" s="15"/>
      <c r="C74" s="9"/>
      <c r="D74" s="22"/>
      <c r="E74" s="27" t="str">
        <f aca="false">IF(B74="","",B74+'Your details'!$B$18)</f>
        <v/>
      </c>
      <c r="F74" s="15"/>
      <c r="G74" s="28" t="str">
        <f aca="true">IF(B74="","",IF(F74&lt;&gt;"","Paid",IF(TODAY()&gt;E74,"Overdue","Due")))</f>
        <v/>
      </c>
      <c r="H74" s="29" t="str">
        <f aca="true">IF(G74="Overdue",TODAY()-E74,"")</f>
        <v/>
      </c>
    </row>
    <row r="75" customFormat="false" ht="15" hidden="false" customHeight="false" outlineLevel="0" collapsed="false">
      <c r="A75" s="9"/>
      <c r="B75" s="15"/>
      <c r="C75" s="9"/>
      <c r="D75" s="22"/>
      <c r="E75" s="27" t="str">
        <f aca="false">IF(B75="","",B75+'Your details'!$B$18)</f>
        <v/>
      </c>
      <c r="F75" s="15"/>
      <c r="G75" s="28" t="str">
        <f aca="true">IF(B75="","",IF(F75&lt;&gt;"","Paid",IF(TODAY()&gt;E75,"Overdue","Due")))</f>
        <v/>
      </c>
      <c r="H75" s="29" t="str">
        <f aca="true">IF(G75="Overdue",TODAY()-E75,"")</f>
        <v/>
      </c>
    </row>
    <row r="76" customFormat="false" ht="15" hidden="false" customHeight="false" outlineLevel="0" collapsed="false">
      <c r="A76" s="9"/>
      <c r="B76" s="15"/>
      <c r="C76" s="9"/>
      <c r="D76" s="22"/>
      <c r="E76" s="27" t="str">
        <f aca="false">IF(B76="","",B76+'Your details'!$B$18)</f>
        <v/>
      </c>
      <c r="F76" s="15"/>
      <c r="G76" s="28" t="str">
        <f aca="true">IF(B76="","",IF(F76&lt;&gt;"","Paid",IF(TODAY()&gt;E76,"Overdue","Due")))</f>
        <v/>
      </c>
      <c r="H76" s="29" t="str">
        <f aca="true">IF(G76="Overdue",TODAY()-E76,"")</f>
        <v/>
      </c>
    </row>
    <row r="77" customFormat="false" ht="15" hidden="false" customHeight="false" outlineLevel="0" collapsed="false">
      <c r="A77" s="9"/>
      <c r="B77" s="15"/>
      <c r="C77" s="9"/>
      <c r="D77" s="22"/>
      <c r="E77" s="27" t="str">
        <f aca="false">IF(B77="","",B77+'Your details'!$B$18)</f>
        <v/>
      </c>
      <c r="F77" s="15"/>
      <c r="G77" s="28" t="str">
        <f aca="true">IF(B77="","",IF(F77&lt;&gt;"","Paid",IF(TODAY()&gt;E77,"Overdue","Due")))</f>
        <v/>
      </c>
      <c r="H77" s="29" t="str">
        <f aca="true">IF(G77="Overdue",TODAY()-E77,"")</f>
        <v/>
      </c>
    </row>
    <row r="78" customFormat="false" ht="15" hidden="false" customHeight="false" outlineLevel="0" collapsed="false">
      <c r="A78" s="9"/>
      <c r="B78" s="15"/>
      <c r="C78" s="9"/>
      <c r="D78" s="22"/>
      <c r="E78" s="27" t="str">
        <f aca="false">IF(B78="","",B78+'Your details'!$B$18)</f>
        <v/>
      </c>
      <c r="F78" s="15"/>
      <c r="G78" s="28" t="str">
        <f aca="true">IF(B78="","",IF(F78&lt;&gt;"","Paid",IF(TODAY()&gt;E78,"Overdue","Due")))</f>
        <v/>
      </c>
      <c r="H78" s="29" t="str">
        <f aca="true">IF(G78="Overdue",TODAY()-E78,"")</f>
        <v/>
      </c>
    </row>
    <row r="79" customFormat="false" ht="15" hidden="false" customHeight="false" outlineLevel="0" collapsed="false">
      <c r="A79" s="9"/>
      <c r="B79" s="15"/>
      <c r="C79" s="9"/>
      <c r="D79" s="22"/>
      <c r="E79" s="27" t="str">
        <f aca="false">IF(B79="","",B79+'Your details'!$B$18)</f>
        <v/>
      </c>
      <c r="F79" s="15"/>
      <c r="G79" s="28" t="str">
        <f aca="true">IF(B79="","",IF(F79&lt;&gt;"","Paid",IF(TODAY()&gt;E79,"Overdue","Due")))</f>
        <v/>
      </c>
      <c r="H79" s="29" t="str">
        <f aca="true">IF(G79="Overdue",TODAY()-E79,"")</f>
        <v/>
      </c>
    </row>
    <row r="80" customFormat="false" ht="15" hidden="false" customHeight="false" outlineLevel="0" collapsed="false">
      <c r="A80" s="9"/>
      <c r="B80" s="15"/>
      <c r="C80" s="9"/>
      <c r="D80" s="22"/>
      <c r="E80" s="27" t="str">
        <f aca="false">IF(B80="","",B80+'Your details'!$B$18)</f>
        <v/>
      </c>
      <c r="F80" s="15"/>
      <c r="G80" s="28" t="str">
        <f aca="true">IF(B80="","",IF(F80&lt;&gt;"","Paid",IF(TODAY()&gt;E80,"Overdue","Due")))</f>
        <v/>
      </c>
      <c r="H80" s="29" t="str">
        <f aca="true">IF(G80="Overdue",TODAY()-E80,"")</f>
        <v/>
      </c>
    </row>
    <row r="81" customFormat="false" ht="15" hidden="false" customHeight="false" outlineLevel="0" collapsed="false">
      <c r="A81" s="9"/>
      <c r="B81" s="15"/>
      <c r="C81" s="9"/>
      <c r="D81" s="22"/>
      <c r="E81" s="27" t="str">
        <f aca="false">IF(B81="","",B81+'Your details'!$B$18)</f>
        <v/>
      </c>
      <c r="F81" s="15"/>
      <c r="G81" s="28" t="str">
        <f aca="true">IF(B81="","",IF(F81&lt;&gt;"","Paid",IF(TODAY()&gt;E81,"Overdue","Due")))</f>
        <v/>
      </c>
      <c r="H81" s="29" t="str">
        <f aca="true">IF(G81="Overdue",TODAY()-E81,"")</f>
        <v/>
      </c>
    </row>
    <row r="82" customFormat="false" ht="15" hidden="false" customHeight="false" outlineLevel="0" collapsed="false">
      <c r="A82" s="9"/>
      <c r="B82" s="15"/>
      <c r="C82" s="9"/>
      <c r="D82" s="22"/>
      <c r="E82" s="27" t="str">
        <f aca="false">IF(B82="","",B82+'Your details'!$B$18)</f>
        <v/>
      </c>
      <c r="F82" s="15"/>
      <c r="G82" s="28" t="str">
        <f aca="true">IF(B82="","",IF(F82&lt;&gt;"","Paid",IF(TODAY()&gt;E82,"Overdue","Due")))</f>
        <v/>
      </c>
      <c r="H82" s="29" t="str">
        <f aca="true">IF(G82="Overdue",TODAY()-E82,"")</f>
        <v/>
      </c>
    </row>
    <row r="83" customFormat="false" ht="15" hidden="false" customHeight="false" outlineLevel="0" collapsed="false">
      <c r="A83" s="9"/>
      <c r="B83" s="15"/>
      <c r="C83" s="9"/>
      <c r="D83" s="22"/>
      <c r="E83" s="27" t="str">
        <f aca="false">IF(B83="","",B83+'Your details'!$B$18)</f>
        <v/>
      </c>
      <c r="F83" s="15"/>
      <c r="G83" s="28" t="str">
        <f aca="true">IF(B83="","",IF(F83&lt;&gt;"","Paid",IF(TODAY()&gt;E83,"Overdue","Due")))</f>
        <v/>
      </c>
      <c r="H83" s="29" t="str">
        <f aca="true">IF(G83="Overdue",TODAY()-E83,"")</f>
        <v/>
      </c>
    </row>
    <row r="84" customFormat="false" ht="15" hidden="false" customHeight="false" outlineLevel="0" collapsed="false">
      <c r="A84" s="9"/>
      <c r="B84" s="15"/>
      <c r="C84" s="9"/>
      <c r="D84" s="22"/>
      <c r="E84" s="27" t="str">
        <f aca="false">IF(B84="","",B84+'Your details'!$B$18)</f>
        <v/>
      </c>
      <c r="F84" s="15"/>
      <c r="G84" s="28" t="str">
        <f aca="true">IF(B84="","",IF(F84&lt;&gt;"","Paid",IF(TODAY()&gt;E84,"Overdue","Due")))</f>
        <v/>
      </c>
      <c r="H84" s="29" t="str">
        <f aca="true">IF(G84="Overdue",TODAY()-E84,"")</f>
        <v/>
      </c>
    </row>
    <row r="85" customFormat="false" ht="15" hidden="false" customHeight="false" outlineLevel="0" collapsed="false">
      <c r="A85" s="9"/>
      <c r="B85" s="15"/>
      <c r="C85" s="9"/>
      <c r="D85" s="22"/>
      <c r="E85" s="27" t="str">
        <f aca="false">IF(B85="","",B85+'Your details'!$B$18)</f>
        <v/>
      </c>
      <c r="F85" s="15"/>
      <c r="G85" s="28" t="str">
        <f aca="true">IF(B85="","",IF(F85&lt;&gt;"","Paid",IF(TODAY()&gt;E85,"Overdue","Due")))</f>
        <v/>
      </c>
      <c r="H85" s="29" t="str">
        <f aca="true">IF(G85="Overdue",TODAY()-E85,"")</f>
        <v/>
      </c>
    </row>
    <row r="86" customFormat="false" ht="15" hidden="false" customHeight="false" outlineLevel="0" collapsed="false">
      <c r="A86" s="9"/>
      <c r="B86" s="15"/>
      <c r="C86" s="9"/>
      <c r="D86" s="22"/>
      <c r="E86" s="27" t="str">
        <f aca="false">IF(B86="","",B86+'Your details'!$B$18)</f>
        <v/>
      </c>
      <c r="F86" s="15"/>
      <c r="G86" s="28" t="str">
        <f aca="true">IF(B86="","",IF(F86&lt;&gt;"","Paid",IF(TODAY()&gt;E86,"Overdue","Due")))</f>
        <v/>
      </c>
      <c r="H86" s="29" t="str">
        <f aca="true">IF(G86="Overdue",TODAY()-E86,"")</f>
        <v/>
      </c>
    </row>
    <row r="87" customFormat="false" ht="15" hidden="false" customHeight="false" outlineLevel="0" collapsed="false">
      <c r="A87" s="9"/>
      <c r="B87" s="15"/>
      <c r="C87" s="9"/>
      <c r="D87" s="22"/>
      <c r="E87" s="27" t="str">
        <f aca="false">IF(B87="","",B87+'Your details'!$B$18)</f>
        <v/>
      </c>
      <c r="F87" s="15"/>
      <c r="G87" s="28" t="str">
        <f aca="true">IF(B87="","",IF(F87&lt;&gt;"","Paid",IF(TODAY()&gt;E87,"Overdue","Due")))</f>
        <v/>
      </c>
      <c r="H87" s="29" t="str">
        <f aca="true">IF(G87="Overdue",TODAY()-E87,"")</f>
        <v/>
      </c>
    </row>
    <row r="88" customFormat="false" ht="15" hidden="false" customHeight="false" outlineLevel="0" collapsed="false">
      <c r="A88" s="9"/>
      <c r="B88" s="15"/>
      <c r="C88" s="9"/>
      <c r="D88" s="22"/>
      <c r="E88" s="27" t="str">
        <f aca="false">IF(B88="","",B88+'Your details'!$B$18)</f>
        <v/>
      </c>
      <c r="F88" s="15"/>
      <c r="G88" s="28" t="str">
        <f aca="true">IF(B88="","",IF(F88&lt;&gt;"","Paid",IF(TODAY()&gt;E88,"Overdue","Due")))</f>
        <v/>
      </c>
      <c r="H88" s="29" t="str">
        <f aca="true">IF(G88="Overdue",TODAY()-E88,"")</f>
        <v/>
      </c>
    </row>
    <row r="89" customFormat="false" ht="15" hidden="false" customHeight="false" outlineLevel="0" collapsed="false">
      <c r="A89" s="9"/>
      <c r="B89" s="15"/>
      <c r="C89" s="9"/>
      <c r="D89" s="22"/>
      <c r="E89" s="27" t="str">
        <f aca="false">IF(B89="","",B89+'Your details'!$B$18)</f>
        <v/>
      </c>
      <c r="F89" s="15"/>
      <c r="G89" s="28" t="str">
        <f aca="true">IF(B89="","",IF(F89&lt;&gt;"","Paid",IF(TODAY()&gt;E89,"Overdue","Due")))</f>
        <v/>
      </c>
      <c r="H89" s="29" t="str">
        <f aca="true">IF(G89="Overdue",TODAY()-E89,"")</f>
        <v/>
      </c>
    </row>
    <row r="90" customFormat="false" ht="15" hidden="false" customHeight="false" outlineLevel="0" collapsed="false">
      <c r="A90" s="9"/>
      <c r="B90" s="15"/>
      <c r="C90" s="9"/>
      <c r="D90" s="22"/>
      <c r="E90" s="27" t="str">
        <f aca="false">IF(B90="","",B90+'Your details'!$B$18)</f>
        <v/>
      </c>
      <c r="F90" s="15"/>
      <c r="G90" s="28" t="str">
        <f aca="true">IF(B90="","",IF(F90&lt;&gt;"","Paid",IF(TODAY()&gt;E90,"Overdue","Due")))</f>
        <v/>
      </c>
      <c r="H90" s="29" t="str">
        <f aca="true">IF(G90="Overdue",TODAY()-E90,"")</f>
        <v/>
      </c>
    </row>
    <row r="91" customFormat="false" ht="15" hidden="false" customHeight="false" outlineLevel="0" collapsed="false">
      <c r="A91" s="9"/>
      <c r="B91" s="15"/>
      <c r="C91" s="9"/>
      <c r="D91" s="22"/>
      <c r="E91" s="27" t="str">
        <f aca="false">IF(B91="","",B91+'Your details'!$B$18)</f>
        <v/>
      </c>
      <c r="F91" s="15"/>
      <c r="G91" s="28" t="str">
        <f aca="true">IF(B91="","",IF(F91&lt;&gt;"","Paid",IF(TODAY()&gt;E91,"Overdue","Due")))</f>
        <v/>
      </c>
      <c r="H91" s="29" t="str">
        <f aca="true">IF(G91="Overdue",TODAY()-E91,"")</f>
        <v/>
      </c>
    </row>
    <row r="92" customFormat="false" ht="15" hidden="false" customHeight="false" outlineLevel="0" collapsed="false">
      <c r="A92" s="9"/>
      <c r="B92" s="15"/>
      <c r="C92" s="9"/>
      <c r="D92" s="22"/>
      <c r="E92" s="27" t="str">
        <f aca="false">IF(B92="","",B92+'Your details'!$B$18)</f>
        <v/>
      </c>
      <c r="F92" s="15"/>
      <c r="G92" s="28" t="str">
        <f aca="true">IF(B92="","",IF(F92&lt;&gt;"","Paid",IF(TODAY()&gt;E92,"Overdue","Due")))</f>
        <v/>
      </c>
      <c r="H92" s="29" t="str">
        <f aca="true">IF(G92="Overdue",TODAY()-E92,"")</f>
        <v/>
      </c>
    </row>
    <row r="93" customFormat="false" ht="15" hidden="false" customHeight="false" outlineLevel="0" collapsed="false">
      <c r="A93" s="9"/>
      <c r="B93" s="15"/>
      <c r="C93" s="9"/>
      <c r="D93" s="22"/>
      <c r="E93" s="27" t="str">
        <f aca="false">IF(B93="","",B93+'Your details'!$B$18)</f>
        <v/>
      </c>
      <c r="F93" s="15"/>
      <c r="G93" s="28" t="str">
        <f aca="true">IF(B93="","",IF(F93&lt;&gt;"","Paid",IF(TODAY()&gt;E93,"Overdue","Due")))</f>
        <v/>
      </c>
      <c r="H93" s="29" t="str">
        <f aca="true">IF(G93="Overdue",TODAY()-E93,"")</f>
        <v/>
      </c>
    </row>
    <row r="94" customFormat="false" ht="15" hidden="false" customHeight="false" outlineLevel="0" collapsed="false">
      <c r="A94" s="9"/>
      <c r="B94" s="15"/>
      <c r="C94" s="9"/>
      <c r="D94" s="22"/>
      <c r="E94" s="27" t="str">
        <f aca="false">IF(B94="","",B94+'Your details'!$B$18)</f>
        <v/>
      </c>
      <c r="F94" s="15"/>
      <c r="G94" s="28" t="str">
        <f aca="true">IF(B94="","",IF(F94&lt;&gt;"","Paid",IF(TODAY()&gt;E94,"Overdue","Due")))</f>
        <v/>
      </c>
      <c r="H94" s="29" t="str">
        <f aca="true">IF(G94="Overdue",TODAY()-E94,"")</f>
        <v/>
      </c>
    </row>
    <row r="95" customFormat="false" ht="15" hidden="false" customHeight="false" outlineLevel="0" collapsed="false">
      <c r="A95" s="9"/>
      <c r="B95" s="15"/>
      <c r="C95" s="9"/>
      <c r="D95" s="22"/>
      <c r="E95" s="27" t="str">
        <f aca="false">IF(B95="","",B95+'Your details'!$B$18)</f>
        <v/>
      </c>
      <c r="F95" s="15"/>
      <c r="G95" s="28" t="str">
        <f aca="true">IF(B95="","",IF(F95&lt;&gt;"","Paid",IF(TODAY()&gt;E95,"Overdue","Due")))</f>
        <v/>
      </c>
      <c r="H95" s="29" t="str">
        <f aca="true">IF(G95="Overdue",TODAY()-E95,"")</f>
        <v/>
      </c>
    </row>
    <row r="96" customFormat="false" ht="15" hidden="false" customHeight="false" outlineLevel="0" collapsed="false">
      <c r="A96" s="9"/>
      <c r="B96" s="15"/>
      <c r="C96" s="9"/>
      <c r="D96" s="22"/>
      <c r="E96" s="27" t="str">
        <f aca="false">IF(B96="","",B96+'Your details'!$B$18)</f>
        <v/>
      </c>
      <c r="F96" s="15"/>
      <c r="G96" s="28" t="str">
        <f aca="true">IF(B96="","",IF(F96&lt;&gt;"","Paid",IF(TODAY()&gt;E96,"Overdue","Due")))</f>
        <v/>
      </c>
      <c r="H96" s="29" t="str">
        <f aca="true">IF(G96="Overdue",TODAY()-E96,"")</f>
        <v/>
      </c>
    </row>
    <row r="97" customFormat="false" ht="15" hidden="false" customHeight="false" outlineLevel="0" collapsed="false">
      <c r="A97" s="9"/>
      <c r="B97" s="15"/>
      <c r="C97" s="9"/>
      <c r="D97" s="22"/>
      <c r="E97" s="27" t="str">
        <f aca="false">IF(B97="","",B97+'Your details'!$B$18)</f>
        <v/>
      </c>
      <c r="F97" s="15"/>
      <c r="G97" s="28" t="str">
        <f aca="true">IF(B97="","",IF(F97&lt;&gt;"","Paid",IF(TODAY()&gt;E97,"Overdue","Due")))</f>
        <v/>
      </c>
      <c r="H97" s="29" t="str">
        <f aca="true">IF(G97="Overdue",TODAY()-E97,"")</f>
        <v/>
      </c>
    </row>
    <row r="98" customFormat="false" ht="15" hidden="false" customHeight="false" outlineLevel="0" collapsed="false">
      <c r="A98" s="9"/>
      <c r="B98" s="15"/>
      <c r="C98" s="9"/>
      <c r="D98" s="22"/>
      <c r="E98" s="27" t="str">
        <f aca="false">IF(B98="","",B98+'Your details'!$B$18)</f>
        <v/>
      </c>
      <c r="F98" s="15"/>
      <c r="G98" s="28" t="str">
        <f aca="true">IF(B98="","",IF(F98&lt;&gt;"","Paid",IF(TODAY()&gt;E98,"Overdue","Due")))</f>
        <v/>
      </c>
      <c r="H98" s="29" t="str">
        <f aca="true">IF(G98="Overdue",TODAY()-E98,"")</f>
        <v/>
      </c>
    </row>
    <row r="99" customFormat="false" ht="15" hidden="false" customHeight="false" outlineLevel="0" collapsed="false">
      <c r="A99" s="9"/>
      <c r="B99" s="15"/>
      <c r="C99" s="9"/>
      <c r="D99" s="22"/>
      <c r="E99" s="27" t="str">
        <f aca="false">IF(B99="","",B99+'Your details'!$B$18)</f>
        <v/>
      </c>
      <c r="F99" s="15"/>
      <c r="G99" s="28" t="str">
        <f aca="true">IF(B99="","",IF(F99&lt;&gt;"","Paid",IF(TODAY()&gt;E99,"Overdue","Due")))</f>
        <v/>
      </c>
      <c r="H99" s="29" t="str">
        <f aca="true">IF(G99="Overdue",TODAY()-E99,"")</f>
        <v/>
      </c>
    </row>
    <row r="100" customFormat="false" ht="15" hidden="false" customHeight="false" outlineLevel="0" collapsed="false">
      <c r="A100" s="9"/>
      <c r="B100" s="15"/>
      <c r="C100" s="9"/>
      <c r="D100" s="22"/>
      <c r="E100" s="27" t="str">
        <f aca="false">IF(B100="","",B100+'Your details'!$B$18)</f>
        <v/>
      </c>
      <c r="F100" s="15"/>
      <c r="G100" s="28" t="str">
        <f aca="true">IF(B100="","",IF(F100&lt;&gt;"","Paid",IF(TODAY()&gt;E100,"Overdue","Due")))</f>
        <v/>
      </c>
      <c r="H100" s="29" t="str">
        <f aca="true">IF(G100="Overdue",TODAY()-E100,"")</f>
        <v/>
      </c>
    </row>
    <row r="101" customFormat="false" ht="15" hidden="false" customHeight="false" outlineLevel="0" collapsed="false">
      <c r="A101" s="9"/>
      <c r="B101" s="15"/>
      <c r="C101" s="9"/>
      <c r="D101" s="22"/>
      <c r="E101" s="27" t="str">
        <f aca="false">IF(B101="","",B101+'Your details'!$B$18)</f>
        <v/>
      </c>
      <c r="F101" s="15"/>
      <c r="G101" s="28" t="str">
        <f aca="true">IF(B101="","",IF(F101&lt;&gt;"","Paid",IF(TODAY()&gt;E101,"Overdue","Due")))</f>
        <v/>
      </c>
      <c r="H101" s="29" t="str">
        <f aca="true">IF(G101="Overdue",TODAY()-E101,"")</f>
        <v/>
      </c>
    </row>
    <row r="102" customFormat="false" ht="15" hidden="false" customHeight="false" outlineLevel="0" collapsed="false">
      <c r="A102" s="9"/>
      <c r="B102" s="15"/>
      <c r="C102" s="9"/>
      <c r="D102" s="22"/>
      <c r="E102" s="27" t="str">
        <f aca="false">IF(B102="","",B102+'Your details'!$B$18)</f>
        <v/>
      </c>
      <c r="F102" s="15"/>
      <c r="G102" s="28" t="str">
        <f aca="true">IF(B102="","",IF(F102&lt;&gt;"","Paid",IF(TODAY()&gt;E102,"Overdue","Due")))</f>
        <v/>
      </c>
      <c r="H102" s="29" t="str">
        <f aca="true">IF(G102="Overdue",TODAY()-E102,"")</f>
        <v/>
      </c>
    </row>
    <row r="103" customFormat="false" ht="15" hidden="false" customHeight="false" outlineLevel="0" collapsed="false">
      <c r="A103" s="9"/>
      <c r="B103" s="15"/>
      <c r="C103" s="9"/>
      <c r="D103" s="22"/>
      <c r="E103" s="27" t="str">
        <f aca="false">IF(B103="","",B103+'Your details'!$B$18)</f>
        <v/>
      </c>
      <c r="F103" s="15"/>
      <c r="G103" s="28" t="str">
        <f aca="true">IF(B103="","",IF(F103&lt;&gt;"","Paid",IF(TODAY()&gt;E103,"Overdue","Due")))</f>
        <v/>
      </c>
      <c r="H103" s="29" t="str">
        <f aca="true">IF(G103="Overdue",TODAY()-E103,"")</f>
        <v/>
      </c>
    </row>
    <row r="104" customFormat="false" ht="15" hidden="false" customHeight="false" outlineLevel="0" collapsed="false">
      <c r="A104" s="9"/>
      <c r="B104" s="15"/>
      <c r="C104" s="9"/>
      <c r="D104" s="22"/>
      <c r="E104" s="27" t="str">
        <f aca="false">IF(B104="","",B104+'Your details'!$B$18)</f>
        <v/>
      </c>
      <c r="F104" s="15"/>
      <c r="G104" s="28" t="str">
        <f aca="true">IF(B104="","",IF(F104&lt;&gt;"","Paid",IF(TODAY()&gt;E104,"Overdue","Due")))</f>
        <v/>
      </c>
      <c r="H104" s="29" t="str">
        <f aca="true">IF(G104="Overdue",TODAY()-E104,"")</f>
        <v/>
      </c>
    </row>
    <row r="105" customFormat="false" ht="15" hidden="false" customHeight="false" outlineLevel="0" collapsed="false">
      <c r="A105" s="9"/>
      <c r="B105" s="15"/>
      <c r="C105" s="9"/>
      <c r="D105" s="22"/>
      <c r="E105" s="27" t="str">
        <f aca="false">IF(B105="","",B105+'Your details'!$B$18)</f>
        <v/>
      </c>
      <c r="F105" s="15"/>
      <c r="G105" s="28" t="str">
        <f aca="true">IF(B105="","",IF(F105&lt;&gt;"","Paid",IF(TODAY()&gt;E105,"Overdue","Due")))</f>
        <v/>
      </c>
      <c r="H105" s="29" t="str">
        <f aca="true">IF(G105="Overdue",TODAY()-E105,"")</f>
        <v/>
      </c>
    </row>
    <row r="106" customFormat="false" ht="15" hidden="false" customHeight="false" outlineLevel="0" collapsed="false">
      <c r="A106" s="9"/>
      <c r="B106" s="15"/>
      <c r="C106" s="9"/>
      <c r="D106" s="22"/>
      <c r="E106" s="27" t="str">
        <f aca="false">IF(B106="","",B106+'Your details'!$B$18)</f>
        <v/>
      </c>
      <c r="F106" s="15"/>
      <c r="G106" s="28" t="str">
        <f aca="true">IF(B106="","",IF(F106&lt;&gt;"","Paid",IF(TODAY()&gt;E106,"Overdue","Due")))</f>
        <v/>
      </c>
      <c r="H106" s="29" t="str">
        <f aca="true">IF(G106="Overdue",TODAY()-E106,"")</f>
        <v/>
      </c>
    </row>
    <row r="107" customFormat="false" ht="15" hidden="false" customHeight="false" outlineLevel="0" collapsed="false">
      <c r="A107" s="9"/>
      <c r="B107" s="15"/>
      <c r="C107" s="9"/>
      <c r="D107" s="22"/>
      <c r="E107" s="27" t="str">
        <f aca="false">IF(B107="","",B107+'Your details'!$B$18)</f>
        <v/>
      </c>
      <c r="F107" s="15"/>
      <c r="G107" s="28" t="str">
        <f aca="true">IF(B107="","",IF(F107&lt;&gt;"","Paid",IF(TODAY()&gt;E107,"Overdue","Due")))</f>
        <v/>
      </c>
      <c r="H107" s="29" t="str">
        <f aca="true">IF(G107="Overdue",TODAY()-E107,"")</f>
        <v/>
      </c>
    </row>
    <row r="108" customFormat="false" ht="15" hidden="false" customHeight="false" outlineLevel="0" collapsed="false">
      <c r="A108" s="9"/>
      <c r="B108" s="15"/>
      <c r="C108" s="9"/>
      <c r="D108" s="22"/>
      <c r="E108" s="27" t="str">
        <f aca="false">IF(B108="","",B108+'Your details'!$B$18)</f>
        <v/>
      </c>
      <c r="F108" s="15"/>
      <c r="G108" s="28" t="str">
        <f aca="true">IF(B108="","",IF(F108&lt;&gt;"","Paid",IF(TODAY()&gt;E108,"Overdue","Due")))</f>
        <v/>
      </c>
      <c r="H108" s="29" t="str">
        <f aca="true">IF(G108="Overdue",TODAY()-E108,"")</f>
        <v/>
      </c>
    </row>
    <row r="109" customFormat="false" ht="15" hidden="false" customHeight="false" outlineLevel="0" collapsed="false">
      <c r="A109" s="9"/>
      <c r="B109" s="15"/>
      <c r="C109" s="9"/>
      <c r="D109" s="22"/>
      <c r="E109" s="27" t="str">
        <f aca="false">IF(B109="","",B109+'Your details'!$B$18)</f>
        <v/>
      </c>
      <c r="F109" s="15"/>
      <c r="G109" s="28" t="str">
        <f aca="true">IF(B109="","",IF(F109&lt;&gt;"","Paid",IF(TODAY()&gt;E109,"Overdue","Due")))</f>
        <v/>
      </c>
      <c r="H109" s="29" t="str">
        <f aca="true">IF(G109="Overdue",TODAY()-E109,"")</f>
        <v/>
      </c>
    </row>
    <row r="110" customFormat="false" ht="15" hidden="false" customHeight="false" outlineLevel="0" collapsed="false">
      <c r="A110" s="9"/>
      <c r="B110" s="15"/>
      <c r="C110" s="9"/>
      <c r="D110" s="22"/>
      <c r="E110" s="27" t="str">
        <f aca="false">IF(B110="","",B110+'Your details'!$B$18)</f>
        <v/>
      </c>
      <c r="F110" s="15"/>
      <c r="G110" s="28" t="str">
        <f aca="true">IF(B110="","",IF(F110&lt;&gt;"","Paid",IF(TODAY()&gt;E110,"Overdue","Due")))</f>
        <v/>
      </c>
      <c r="H110" s="29" t="str">
        <f aca="true">IF(G110="Overdue",TODAY()-E110,"")</f>
        <v/>
      </c>
    </row>
    <row r="111" customFormat="false" ht="15" hidden="false" customHeight="false" outlineLevel="0" collapsed="false">
      <c r="A111" s="9"/>
      <c r="B111" s="15"/>
      <c r="C111" s="9"/>
      <c r="D111" s="22"/>
      <c r="E111" s="27" t="str">
        <f aca="false">IF(B111="","",B111+'Your details'!$B$18)</f>
        <v/>
      </c>
      <c r="F111" s="15"/>
      <c r="G111" s="28" t="str">
        <f aca="true">IF(B111="","",IF(F111&lt;&gt;"","Paid",IF(TODAY()&gt;E111,"Overdue","Due")))</f>
        <v/>
      </c>
      <c r="H111" s="29" t="str">
        <f aca="true">IF(G111="Overdue",TODAY()-E111,"")</f>
        <v/>
      </c>
    </row>
    <row r="112" customFormat="false" ht="15" hidden="false" customHeight="false" outlineLevel="0" collapsed="false">
      <c r="A112" s="9"/>
      <c r="B112" s="15"/>
      <c r="C112" s="9"/>
      <c r="D112" s="22"/>
      <c r="E112" s="27" t="str">
        <f aca="false">IF(B112="","",B112+'Your details'!$B$18)</f>
        <v/>
      </c>
      <c r="F112" s="15"/>
      <c r="G112" s="28" t="str">
        <f aca="true">IF(B112="","",IF(F112&lt;&gt;"","Paid",IF(TODAY()&gt;E112,"Overdue","Due")))</f>
        <v/>
      </c>
      <c r="H112" s="29" t="str">
        <f aca="true">IF(G112="Overdue",TODAY()-E112,"")</f>
        <v/>
      </c>
    </row>
    <row r="113" customFormat="false" ht="15" hidden="false" customHeight="false" outlineLevel="0" collapsed="false">
      <c r="A113" s="9"/>
      <c r="B113" s="15"/>
      <c r="C113" s="9"/>
      <c r="D113" s="22"/>
      <c r="E113" s="27" t="str">
        <f aca="false">IF(B113="","",B113+'Your details'!$B$18)</f>
        <v/>
      </c>
      <c r="F113" s="15"/>
      <c r="G113" s="28" t="str">
        <f aca="true">IF(B113="","",IF(F113&lt;&gt;"","Paid",IF(TODAY()&gt;E113,"Overdue","Due")))</f>
        <v/>
      </c>
      <c r="H113" s="29" t="str">
        <f aca="true">IF(G113="Overdue",TODAY()-E113,"")</f>
        <v/>
      </c>
    </row>
    <row r="114" customFormat="false" ht="15" hidden="false" customHeight="false" outlineLevel="0" collapsed="false">
      <c r="A114" s="9"/>
      <c r="B114" s="15"/>
      <c r="C114" s="9"/>
      <c r="D114" s="22"/>
      <c r="E114" s="27" t="str">
        <f aca="false">IF(B114="","",B114+'Your details'!$B$18)</f>
        <v/>
      </c>
      <c r="F114" s="15"/>
      <c r="G114" s="28" t="str">
        <f aca="true">IF(B114="","",IF(F114&lt;&gt;"","Paid",IF(TODAY()&gt;E114,"Overdue","Due")))</f>
        <v/>
      </c>
      <c r="H114" s="29" t="str">
        <f aca="true">IF(G114="Overdue",TODAY()-E114,"")</f>
        <v/>
      </c>
    </row>
    <row r="115" customFormat="false" ht="15" hidden="false" customHeight="false" outlineLevel="0" collapsed="false">
      <c r="A115" s="9"/>
      <c r="B115" s="15"/>
      <c r="C115" s="9"/>
      <c r="D115" s="22"/>
      <c r="E115" s="27" t="str">
        <f aca="false">IF(B115="","",B115+'Your details'!$B$18)</f>
        <v/>
      </c>
      <c r="F115" s="15"/>
      <c r="G115" s="28" t="str">
        <f aca="true">IF(B115="","",IF(F115&lt;&gt;"","Paid",IF(TODAY()&gt;E115,"Overdue","Due")))</f>
        <v/>
      </c>
      <c r="H115" s="29" t="str">
        <f aca="true">IF(G115="Overdue",TODAY()-E115,"")</f>
        <v/>
      </c>
    </row>
    <row r="116" customFormat="false" ht="15" hidden="false" customHeight="false" outlineLevel="0" collapsed="false">
      <c r="A116" s="9"/>
      <c r="B116" s="15"/>
      <c r="C116" s="9"/>
      <c r="D116" s="22"/>
      <c r="E116" s="27" t="str">
        <f aca="false">IF(B116="","",B116+'Your details'!$B$18)</f>
        <v/>
      </c>
      <c r="F116" s="15"/>
      <c r="G116" s="28" t="str">
        <f aca="true">IF(B116="","",IF(F116&lt;&gt;"","Paid",IF(TODAY()&gt;E116,"Overdue","Due")))</f>
        <v/>
      </c>
      <c r="H116" s="29" t="str">
        <f aca="true">IF(G116="Overdue",TODAY()-E116,"")</f>
        <v/>
      </c>
    </row>
    <row r="117" customFormat="false" ht="15" hidden="false" customHeight="false" outlineLevel="0" collapsed="false">
      <c r="A117" s="9"/>
      <c r="B117" s="15"/>
      <c r="C117" s="9"/>
      <c r="D117" s="22"/>
      <c r="E117" s="27" t="str">
        <f aca="false">IF(B117="","",B117+'Your details'!$B$18)</f>
        <v/>
      </c>
      <c r="F117" s="15"/>
      <c r="G117" s="28" t="str">
        <f aca="true">IF(B117="","",IF(F117&lt;&gt;"","Paid",IF(TODAY()&gt;E117,"Overdue","Due")))</f>
        <v/>
      </c>
      <c r="H117" s="29" t="str">
        <f aca="true">IF(G117="Overdue",TODAY()-E117,"")</f>
        <v/>
      </c>
    </row>
    <row r="118" customFormat="false" ht="15" hidden="false" customHeight="false" outlineLevel="0" collapsed="false">
      <c r="A118" s="9"/>
      <c r="B118" s="15"/>
      <c r="C118" s="9"/>
      <c r="D118" s="22"/>
      <c r="E118" s="27" t="str">
        <f aca="false">IF(B118="","",B118+'Your details'!$B$18)</f>
        <v/>
      </c>
      <c r="F118" s="15"/>
      <c r="G118" s="28" t="str">
        <f aca="true">IF(B118="","",IF(F118&lt;&gt;"","Paid",IF(TODAY()&gt;E118,"Overdue","Due")))</f>
        <v/>
      </c>
      <c r="H118" s="29" t="str">
        <f aca="true">IF(G118="Overdue",TODAY()-E118,"")</f>
        <v/>
      </c>
    </row>
    <row r="119" customFormat="false" ht="15" hidden="false" customHeight="false" outlineLevel="0" collapsed="false">
      <c r="A119" s="9"/>
      <c r="B119" s="15"/>
      <c r="C119" s="9"/>
      <c r="D119" s="22"/>
      <c r="E119" s="27" t="str">
        <f aca="false">IF(B119="","",B119+'Your details'!$B$18)</f>
        <v/>
      </c>
      <c r="F119" s="15"/>
      <c r="G119" s="28" t="str">
        <f aca="true">IF(B119="","",IF(F119&lt;&gt;"","Paid",IF(TODAY()&gt;E119,"Overdue","Due")))</f>
        <v/>
      </c>
      <c r="H119" s="29" t="str">
        <f aca="true">IF(G119="Overdue",TODAY()-E119,"")</f>
        <v/>
      </c>
    </row>
    <row r="120" customFormat="false" ht="15" hidden="false" customHeight="false" outlineLevel="0" collapsed="false">
      <c r="A120" s="9"/>
      <c r="B120" s="15"/>
      <c r="C120" s="9"/>
      <c r="D120" s="22"/>
      <c r="E120" s="27" t="str">
        <f aca="false">IF(B120="","",B120+'Your details'!$B$18)</f>
        <v/>
      </c>
      <c r="F120" s="15"/>
      <c r="G120" s="28" t="str">
        <f aca="true">IF(B120="","",IF(F120&lt;&gt;"","Paid",IF(TODAY()&gt;E120,"Overdue","Due")))</f>
        <v/>
      </c>
      <c r="H120" s="29" t="str">
        <f aca="true">IF(G120="Overdue",TODAY()-E120,"")</f>
        <v/>
      </c>
    </row>
    <row r="121" customFormat="false" ht="15" hidden="false" customHeight="false" outlineLevel="0" collapsed="false">
      <c r="A121" s="9"/>
      <c r="B121" s="15"/>
      <c r="C121" s="9"/>
      <c r="D121" s="22"/>
      <c r="E121" s="27" t="str">
        <f aca="false">IF(B121="","",B121+'Your details'!$B$18)</f>
        <v/>
      </c>
      <c r="F121" s="15"/>
      <c r="G121" s="28" t="str">
        <f aca="true">IF(B121="","",IF(F121&lt;&gt;"","Paid",IF(TODAY()&gt;E121,"Overdue","Due")))</f>
        <v/>
      </c>
      <c r="H121" s="29" t="str">
        <f aca="true">IF(G121="Overdue",TODAY()-E121,"")</f>
        <v/>
      </c>
    </row>
    <row r="122" customFormat="false" ht="15" hidden="false" customHeight="false" outlineLevel="0" collapsed="false">
      <c r="A122" s="9"/>
      <c r="B122" s="15"/>
      <c r="C122" s="9"/>
      <c r="D122" s="22"/>
      <c r="E122" s="27" t="str">
        <f aca="false">IF(B122="","",B122+'Your details'!$B$18)</f>
        <v/>
      </c>
      <c r="F122" s="15"/>
      <c r="G122" s="28" t="str">
        <f aca="true">IF(B122="","",IF(F122&lt;&gt;"","Paid",IF(TODAY()&gt;E122,"Overdue","Due")))</f>
        <v/>
      </c>
      <c r="H122" s="29" t="str">
        <f aca="true">IF(G122="Overdue",TODAY()-E122,"")</f>
        <v/>
      </c>
    </row>
    <row r="123" customFormat="false" ht="15" hidden="false" customHeight="false" outlineLevel="0" collapsed="false">
      <c r="A123" s="9"/>
      <c r="B123" s="15"/>
      <c r="C123" s="9"/>
      <c r="D123" s="22"/>
      <c r="E123" s="27" t="str">
        <f aca="false">IF(B123="","",B123+'Your details'!$B$18)</f>
        <v/>
      </c>
      <c r="F123" s="15"/>
      <c r="G123" s="28" t="str">
        <f aca="true">IF(B123="","",IF(F123&lt;&gt;"","Paid",IF(TODAY()&gt;E123,"Overdue","Due")))</f>
        <v/>
      </c>
      <c r="H123" s="29" t="str">
        <f aca="true">IF(G123="Overdue",TODAY()-E123,"")</f>
        <v/>
      </c>
    </row>
    <row r="124" customFormat="false" ht="15" hidden="false" customHeight="false" outlineLevel="0" collapsed="false">
      <c r="A124" s="9"/>
      <c r="B124" s="15"/>
      <c r="C124" s="9"/>
      <c r="D124" s="22"/>
      <c r="E124" s="27" t="str">
        <f aca="false">IF(B124="","",B124+'Your details'!$B$18)</f>
        <v/>
      </c>
      <c r="F124" s="15"/>
      <c r="G124" s="28" t="str">
        <f aca="true">IF(B124="","",IF(F124&lt;&gt;"","Paid",IF(TODAY()&gt;E124,"Overdue","Due")))</f>
        <v/>
      </c>
      <c r="H124" s="29" t="str">
        <f aca="true">IF(G124="Overdue",TODAY()-E124,"")</f>
        <v/>
      </c>
    </row>
    <row r="125" customFormat="false" ht="15" hidden="false" customHeight="false" outlineLevel="0" collapsed="false">
      <c r="A125" s="9"/>
      <c r="B125" s="15"/>
      <c r="C125" s="9"/>
      <c r="D125" s="22"/>
      <c r="E125" s="27" t="str">
        <f aca="false">IF(B125="","",B125+'Your details'!$B$18)</f>
        <v/>
      </c>
      <c r="F125" s="15"/>
      <c r="G125" s="28" t="str">
        <f aca="true">IF(B125="","",IF(F125&lt;&gt;"","Paid",IF(TODAY()&gt;E125,"Overdue","Due")))</f>
        <v/>
      </c>
      <c r="H125" s="29" t="str">
        <f aca="true">IF(G125="Overdue",TODAY()-E125,"")</f>
        <v/>
      </c>
    </row>
    <row r="126" customFormat="false" ht="15" hidden="false" customHeight="false" outlineLevel="0" collapsed="false">
      <c r="A126" s="9"/>
      <c r="B126" s="15"/>
      <c r="C126" s="9"/>
      <c r="D126" s="22"/>
      <c r="E126" s="27" t="str">
        <f aca="false">IF(B126="","",B126+'Your details'!$B$18)</f>
        <v/>
      </c>
      <c r="F126" s="15"/>
      <c r="G126" s="28" t="str">
        <f aca="true">IF(B126="","",IF(F126&lt;&gt;"","Paid",IF(TODAY()&gt;E126,"Overdue","Due")))</f>
        <v/>
      </c>
      <c r="H126" s="29" t="str">
        <f aca="true">IF(G126="Overdue",TODAY()-E126,"")</f>
        <v/>
      </c>
    </row>
    <row r="127" customFormat="false" ht="15" hidden="false" customHeight="false" outlineLevel="0" collapsed="false">
      <c r="A127" s="9"/>
      <c r="B127" s="15"/>
      <c r="C127" s="9"/>
      <c r="D127" s="22"/>
      <c r="E127" s="27" t="str">
        <f aca="false">IF(B127="","",B127+'Your details'!$B$18)</f>
        <v/>
      </c>
      <c r="F127" s="15"/>
      <c r="G127" s="28" t="str">
        <f aca="true">IF(B127="","",IF(F127&lt;&gt;"","Paid",IF(TODAY()&gt;E127,"Overdue","Due")))</f>
        <v/>
      </c>
      <c r="H127" s="29" t="str">
        <f aca="true">IF(G127="Overdue",TODAY()-E127,"")</f>
        <v/>
      </c>
    </row>
    <row r="128" customFormat="false" ht="15" hidden="false" customHeight="false" outlineLevel="0" collapsed="false">
      <c r="A128" s="9"/>
      <c r="B128" s="15"/>
      <c r="C128" s="9"/>
      <c r="D128" s="22"/>
      <c r="E128" s="27" t="str">
        <f aca="false">IF(B128="","",B128+'Your details'!$B$18)</f>
        <v/>
      </c>
      <c r="F128" s="15"/>
      <c r="G128" s="28" t="str">
        <f aca="true">IF(B128="","",IF(F128&lt;&gt;"","Paid",IF(TODAY()&gt;E128,"Overdue","Due")))</f>
        <v/>
      </c>
      <c r="H128" s="29" t="str">
        <f aca="true">IF(G128="Overdue",TODAY()-E128,"")</f>
        <v/>
      </c>
    </row>
    <row r="129" customFormat="false" ht="15" hidden="false" customHeight="false" outlineLevel="0" collapsed="false">
      <c r="A129" s="9"/>
      <c r="B129" s="15"/>
      <c r="C129" s="9"/>
      <c r="D129" s="22"/>
      <c r="E129" s="27" t="str">
        <f aca="false">IF(B129="","",B129+'Your details'!$B$18)</f>
        <v/>
      </c>
      <c r="F129" s="15"/>
      <c r="G129" s="28" t="str">
        <f aca="true">IF(B129="","",IF(F129&lt;&gt;"","Paid",IF(TODAY()&gt;E129,"Overdue","Due")))</f>
        <v/>
      </c>
      <c r="H129" s="29" t="str">
        <f aca="true">IF(G129="Overdue",TODAY()-E129,"")</f>
        <v/>
      </c>
    </row>
    <row r="130" customFormat="false" ht="15" hidden="false" customHeight="false" outlineLevel="0" collapsed="false">
      <c r="A130" s="9"/>
      <c r="B130" s="15"/>
      <c r="C130" s="9"/>
      <c r="D130" s="22"/>
      <c r="E130" s="27" t="str">
        <f aca="false">IF(B130="","",B130+'Your details'!$B$18)</f>
        <v/>
      </c>
      <c r="F130" s="15"/>
      <c r="G130" s="28" t="str">
        <f aca="true">IF(B130="","",IF(F130&lt;&gt;"","Paid",IF(TODAY()&gt;E130,"Overdue","Due")))</f>
        <v/>
      </c>
      <c r="H130" s="29" t="str">
        <f aca="true">IF(G130="Overdue",TODAY()-E130,"")</f>
        <v/>
      </c>
    </row>
    <row r="131" customFormat="false" ht="15" hidden="false" customHeight="false" outlineLevel="0" collapsed="false">
      <c r="A131" s="9"/>
      <c r="B131" s="15"/>
      <c r="C131" s="9"/>
      <c r="D131" s="22"/>
      <c r="E131" s="27" t="str">
        <f aca="false">IF(B131="","",B131+'Your details'!$B$18)</f>
        <v/>
      </c>
      <c r="F131" s="15"/>
      <c r="G131" s="28" t="str">
        <f aca="true">IF(B131="","",IF(F131&lt;&gt;"","Paid",IF(TODAY()&gt;E131,"Overdue","Due")))</f>
        <v/>
      </c>
      <c r="H131" s="29" t="str">
        <f aca="true">IF(G131="Overdue",TODAY()-E131,"")</f>
        <v/>
      </c>
    </row>
    <row r="132" customFormat="false" ht="15" hidden="false" customHeight="false" outlineLevel="0" collapsed="false">
      <c r="A132" s="9"/>
      <c r="B132" s="15"/>
      <c r="C132" s="9"/>
      <c r="D132" s="22"/>
      <c r="E132" s="27" t="str">
        <f aca="false">IF(B132="","",B132+'Your details'!$B$18)</f>
        <v/>
      </c>
      <c r="F132" s="15"/>
      <c r="G132" s="28" t="str">
        <f aca="true">IF(B132="","",IF(F132&lt;&gt;"","Paid",IF(TODAY()&gt;E132,"Overdue","Due")))</f>
        <v/>
      </c>
      <c r="H132" s="29" t="str">
        <f aca="true">IF(G132="Overdue",TODAY()-E132,"")</f>
        <v/>
      </c>
    </row>
    <row r="133" customFormat="false" ht="15" hidden="false" customHeight="false" outlineLevel="0" collapsed="false">
      <c r="A133" s="9"/>
      <c r="B133" s="15"/>
      <c r="C133" s="9"/>
      <c r="D133" s="22"/>
      <c r="E133" s="27" t="str">
        <f aca="false">IF(B133="","",B133+'Your details'!$B$18)</f>
        <v/>
      </c>
      <c r="F133" s="15"/>
      <c r="G133" s="28" t="str">
        <f aca="true">IF(B133="","",IF(F133&lt;&gt;"","Paid",IF(TODAY()&gt;E133,"Overdue","Due")))</f>
        <v/>
      </c>
      <c r="H133" s="29" t="str">
        <f aca="true">IF(G133="Overdue",TODAY()-E133,"")</f>
        <v/>
      </c>
    </row>
    <row r="134" customFormat="false" ht="15" hidden="false" customHeight="false" outlineLevel="0" collapsed="false">
      <c r="A134" s="9"/>
      <c r="B134" s="15"/>
      <c r="C134" s="9"/>
      <c r="D134" s="22"/>
      <c r="E134" s="27" t="str">
        <f aca="false">IF(B134="","",B134+'Your details'!$B$18)</f>
        <v/>
      </c>
      <c r="F134" s="15"/>
      <c r="G134" s="28" t="str">
        <f aca="true">IF(B134="","",IF(F134&lt;&gt;"","Paid",IF(TODAY()&gt;E134,"Overdue","Due")))</f>
        <v/>
      </c>
      <c r="H134" s="29" t="str">
        <f aca="true">IF(G134="Overdue",TODAY()-E134,"")</f>
        <v/>
      </c>
    </row>
    <row r="135" customFormat="false" ht="15" hidden="false" customHeight="false" outlineLevel="0" collapsed="false">
      <c r="A135" s="9"/>
      <c r="B135" s="15"/>
      <c r="C135" s="9"/>
      <c r="D135" s="22"/>
      <c r="E135" s="27" t="str">
        <f aca="false">IF(B135="","",B135+'Your details'!$B$18)</f>
        <v/>
      </c>
      <c r="F135" s="15"/>
      <c r="G135" s="28" t="str">
        <f aca="true">IF(B135="","",IF(F135&lt;&gt;"","Paid",IF(TODAY()&gt;E135,"Overdue","Due")))</f>
        <v/>
      </c>
      <c r="H135" s="29" t="str">
        <f aca="true">IF(G135="Overdue",TODAY()-E135,"")</f>
        <v/>
      </c>
    </row>
    <row r="136" customFormat="false" ht="15" hidden="false" customHeight="false" outlineLevel="0" collapsed="false">
      <c r="A136" s="9"/>
      <c r="B136" s="15"/>
      <c r="C136" s="9"/>
      <c r="D136" s="22"/>
      <c r="E136" s="27" t="str">
        <f aca="false">IF(B136="","",B136+'Your details'!$B$18)</f>
        <v/>
      </c>
      <c r="F136" s="15"/>
      <c r="G136" s="28" t="str">
        <f aca="true">IF(B136="","",IF(F136&lt;&gt;"","Paid",IF(TODAY()&gt;E136,"Overdue","Due")))</f>
        <v/>
      </c>
      <c r="H136" s="29" t="str">
        <f aca="true">IF(G136="Overdue",TODAY()-E136,"")</f>
        <v/>
      </c>
    </row>
    <row r="137" customFormat="false" ht="15" hidden="false" customHeight="false" outlineLevel="0" collapsed="false">
      <c r="A137" s="9"/>
      <c r="B137" s="15"/>
      <c r="C137" s="9"/>
      <c r="D137" s="22"/>
      <c r="E137" s="27" t="str">
        <f aca="false">IF(B137="","",B137+'Your details'!$B$18)</f>
        <v/>
      </c>
      <c r="F137" s="15"/>
      <c r="G137" s="28" t="str">
        <f aca="true">IF(B137="","",IF(F137&lt;&gt;"","Paid",IF(TODAY()&gt;E137,"Overdue","Due")))</f>
        <v/>
      </c>
      <c r="H137" s="29" t="str">
        <f aca="true">IF(G137="Overdue",TODAY()-E137,"")</f>
        <v/>
      </c>
    </row>
    <row r="138" customFormat="false" ht="15" hidden="false" customHeight="false" outlineLevel="0" collapsed="false">
      <c r="A138" s="9"/>
      <c r="B138" s="15"/>
      <c r="C138" s="9"/>
      <c r="D138" s="22"/>
      <c r="E138" s="27" t="str">
        <f aca="false">IF(B138="","",B138+'Your details'!$B$18)</f>
        <v/>
      </c>
      <c r="F138" s="15"/>
      <c r="G138" s="28" t="str">
        <f aca="true">IF(B138="","",IF(F138&lt;&gt;"","Paid",IF(TODAY()&gt;E138,"Overdue","Due")))</f>
        <v/>
      </c>
      <c r="H138" s="29" t="str">
        <f aca="true">IF(G138="Overdue",TODAY()-E138,"")</f>
        <v/>
      </c>
    </row>
    <row r="139" customFormat="false" ht="15" hidden="false" customHeight="false" outlineLevel="0" collapsed="false">
      <c r="A139" s="9"/>
      <c r="B139" s="15"/>
      <c r="C139" s="9"/>
      <c r="D139" s="22"/>
      <c r="E139" s="27" t="str">
        <f aca="false">IF(B139="","",B139+'Your details'!$B$18)</f>
        <v/>
      </c>
      <c r="F139" s="15"/>
      <c r="G139" s="28" t="str">
        <f aca="true">IF(B139="","",IF(F139&lt;&gt;"","Paid",IF(TODAY()&gt;E139,"Overdue","Due")))</f>
        <v/>
      </c>
      <c r="H139" s="29" t="str">
        <f aca="true">IF(G139="Overdue",TODAY()-E139,"")</f>
        <v/>
      </c>
    </row>
    <row r="140" customFormat="false" ht="15" hidden="false" customHeight="false" outlineLevel="0" collapsed="false">
      <c r="A140" s="9"/>
      <c r="B140" s="15"/>
      <c r="C140" s="9"/>
      <c r="D140" s="22"/>
      <c r="E140" s="27" t="str">
        <f aca="false">IF(B140="","",B140+'Your details'!$B$18)</f>
        <v/>
      </c>
      <c r="F140" s="15"/>
      <c r="G140" s="28" t="str">
        <f aca="true">IF(B140="","",IF(F140&lt;&gt;"","Paid",IF(TODAY()&gt;E140,"Overdue","Due")))</f>
        <v/>
      </c>
      <c r="H140" s="29" t="str">
        <f aca="true">IF(G140="Overdue",TODAY()-E140,"")</f>
        <v/>
      </c>
    </row>
    <row r="141" customFormat="false" ht="15" hidden="false" customHeight="false" outlineLevel="0" collapsed="false">
      <c r="A141" s="9"/>
      <c r="B141" s="15"/>
      <c r="C141" s="9"/>
      <c r="D141" s="22"/>
      <c r="E141" s="27" t="str">
        <f aca="false">IF(B141="","",B141+'Your details'!$B$18)</f>
        <v/>
      </c>
      <c r="F141" s="15"/>
      <c r="G141" s="28" t="str">
        <f aca="true">IF(B141="","",IF(F141&lt;&gt;"","Paid",IF(TODAY()&gt;E141,"Overdue","Due")))</f>
        <v/>
      </c>
      <c r="H141" s="29" t="str">
        <f aca="true">IF(G141="Overdue",TODAY()-E141,"")</f>
        <v/>
      </c>
    </row>
    <row r="142" customFormat="false" ht="15" hidden="false" customHeight="false" outlineLevel="0" collapsed="false">
      <c r="A142" s="9"/>
      <c r="B142" s="15"/>
      <c r="C142" s="9"/>
      <c r="D142" s="22"/>
      <c r="E142" s="27" t="str">
        <f aca="false">IF(B142="","",B142+'Your details'!$B$18)</f>
        <v/>
      </c>
      <c r="F142" s="15"/>
      <c r="G142" s="28" t="str">
        <f aca="true">IF(B142="","",IF(F142&lt;&gt;"","Paid",IF(TODAY()&gt;E142,"Overdue","Due")))</f>
        <v/>
      </c>
      <c r="H142" s="29" t="str">
        <f aca="true">IF(G142="Overdue",TODAY()-E142,"")</f>
        <v/>
      </c>
    </row>
    <row r="143" customFormat="false" ht="15" hidden="false" customHeight="false" outlineLevel="0" collapsed="false">
      <c r="A143" s="9"/>
      <c r="B143" s="15"/>
      <c r="C143" s="9"/>
      <c r="D143" s="22"/>
      <c r="E143" s="27" t="str">
        <f aca="false">IF(B143="","",B143+'Your details'!$B$18)</f>
        <v/>
      </c>
      <c r="F143" s="15"/>
      <c r="G143" s="28" t="str">
        <f aca="true">IF(B143="","",IF(F143&lt;&gt;"","Paid",IF(TODAY()&gt;E143,"Overdue","Due")))</f>
        <v/>
      </c>
      <c r="H143" s="29" t="str">
        <f aca="true">IF(G143="Overdue",TODAY()-E143,"")</f>
        <v/>
      </c>
    </row>
    <row r="144" customFormat="false" ht="15" hidden="false" customHeight="false" outlineLevel="0" collapsed="false">
      <c r="A144" s="9"/>
      <c r="B144" s="15"/>
      <c r="C144" s="9"/>
      <c r="D144" s="22"/>
      <c r="E144" s="27" t="str">
        <f aca="false">IF(B144="","",B144+'Your details'!$B$18)</f>
        <v/>
      </c>
      <c r="F144" s="15"/>
      <c r="G144" s="28" t="str">
        <f aca="true">IF(B144="","",IF(F144&lt;&gt;"","Paid",IF(TODAY()&gt;E144,"Overdue","Due")))</f>
        <v/>
      </c>
      <c r="H144" s="29" t="str">
        <f aca="true">IF(G144="Overdue",TODAY()-E144,"")</f>
        <v/>
      </c>
    </row>
    <row r="145" customFormat="false" ht="15" hidden="false" customHeight="false" outlineLevel="0" collapsed="false">
      <c r="A145" s="9"/>
      <c r="B145" s="15"/>
      <c r="C145" s="9"/>
      <c r="D145" s="22"/>
      <c r="E145" s="27" t="str">
        <f aca="false">IF(B145="","",B145+'Your details'!$B$18)</f>
        <v/>
      </c>
      <c r="F145" s="15"/>
      <c r="G145" s="28" t="str">
        <f aca="true">IF(B145="","",IF(F145&lt;&gt;"","Paid",IF(TODAY()&gt;E145,"Overdue","Due")))</f>
        <v/>
      </c>
      <c r="H145" s="29" t="str">
        <f aca="true">IF(G145="Overdue",TODAY()-E145,"")</f>
        <v/>
      </c>
    </row>
    <row r="146" customFormat="false" ht="15" hidden="false" customHeight="false" outlineLevel="0" collapsed="false">
      <c r="A146" s="9"/>
      <c r="B146" s="15"/>
      <c r="C146" s="9"/>
      <c r="D146" s="22"/>
      <c r="E146" s="27" t="str">
        <f aca="false">IF(B146="","",B146+'Your details'!$B$18)</f>
        <v/>
      </c>
      <c r="F146" s="15"/>
      <c r="G146" s="28" t="str">
        <f aca="true">IF(B146="","",IF(F146&lt;&gt;"","Paid",IF(TODAY()&gt;E146,"Overdue","Due")))</f>
        <v/>
      </c>
      <c r="H146" s="29" t="str">
        <f aca="true">IF(G146="Overdue",TODAY()-E146,"")</f>
        <v/>
      </c>
    </row>
    <row r="147" customFormat="false" ht="15" hidden="false" customHeight="false" outlineLevel="0" collapsed="false">
      <c r="A147" s="9"/>
      <c r="B147" s="15"/>
      <c r="C147" s="9"/>
      <c r="D147" s="22"/>
      <c r="E147" s="27" t="str">
        <f aca="false">IF(B147="","",B147+'Your details'!$B$18)</f>
        <v/>
      </c>
      <c r="F147" s="15"/>
      <c r="G147" s="28" t="str">
        <f aca="true">IF(B147="","",IF(F147&lt;&gt;"","Paid",IF(TODAY()&gt;E147,"Overdue","Due")))</f>
        <v/>
      </c>
      <c r="H147" s="29" t="str">
        <f aca="true">IF(G147="Overdue",TODAY()-E147,"")</f>
        <v/>
      </c>
    </row>
    <row r="148" customFormat="false" ht="15" hidden="false" customHeight="false" outlineLevel="0" collapsed="false">
      <c r="A148" s="9"/>
      <c r="B148" s="15"/>
      <c r="C148" s="9"/>
      <c r="D148" s="22"/>
      <c r="E148" s="27" t="str">
        <f aca="false">IF(B148="","",B148+'Your details'!$B$18)</f>
        <v/>
      </c>
      <c r="F148" s="15"/>
      <c r="G148" s="28" t="str">
        <f aca="true">IF(B148="","",IF(F148&lt;&gt;"","Paid",IF(TODAY()&gt;E148,"Overdue","Due")))</f>
        <v/>
      </c>
      <c r="H148" s="29" t="str">
        <f aca="true">IF(G148="Overdue",TODAY()-E148,"")</f>
        <v/>
      </c>
    </row>
    <row r="149" customFormat="false" ht="15" hidden="false" customHeight="false" outlineLevel="0" collapsed="false">
      <c r="A149" s="9"/>
      <c r="B149" s="15"/>
      <c r="C149" s="9"/>
      <c r="D149" s="22"/>
      <c r="E149" s="27" t="str">
        <f aca="false">IF(B149="","",B149+'Your details'!$B$18)</f>
        <v/>
      </c>
      <c r="F149" s="15"/>
      <c r="G149" s="28" t="str">
        <f aca="true">IF(B149="","",IF(F149&lt;&gt;"","Paid",IF(TODAY()&gt;E149,"Overdue","Due")))</f>
        <v/>
      </c>
      <c r="H149" s="29" t="str">
        <f aca="true">IF(G149="Overdue",TODAY()-E149,"")</f>
        <v/>
      </c>
    </row>
    <row r="150" customFormat="false" ht="15" hidden="false" customHeight="false" outlineLevel="0" collapsed="false">
      <c r="A150" s="9"/>
      <c r="B150" s="15"/>
      <c r="C150" s="9"/>
      <c r="D150" s="22"/>
      <c r="E150" s="27" t="str">
        <f aca="false">IF(B150="","",B150+'Your details'!$B$18)</f>
        <v/>
      </c>
      <c r="F150" s="15"/>
      <c r="G150" s="28" t="str">
        <f aca="true">IF(B150="","",IF(F150&lt;&gt;"","Paid",IF(TODAY()&gt;E150,"Overdue","Due")))</f>
        <v/>
      </c>
      <c r="H150" s="29" t="str">
        <f aca="true">IF(G150="Overdue",TODAY()-E150,"")</f>
        <v/>
      </c>
    </row>
    <row r="151" customFormat="false" ht="15" hidden="false" customHeight="false" outlineLevel="0" collapsed="false">
      <c r="A151" s="9"/>
      <c r="B151" s="15"/>
      <c r="C151" s="9"/>
      <c r="D151" s="22"/>
      <c r="E151" s="27" t="str">
        <f aca="false">IF(B151="","",B151+'Your details'!$B$18)</f>
        <v/>
      </c>
      <c r="F151" s="15"/>
      <c r="G151" s="28" t="str">
        <f aca="true">IF(B151="","",IF(F151&lt;&gt;"","Paid",IF(TODAY()&gt;E151,"Overdue","Due")))</f>
        <v/>
      </c>
      <c r="H151" s="29" t="str">
        <f aca="true">IF(G151="Overdue",TODAY()-E151,"")</f>
        <v/>
      </c>
    </row>
    <row r="152" customFormat="false" ht="15" hidden="false" customHeight="false" outlineLevel="0" collapsed="false">
      <c r="A152" s="9"/>
      <c r="B152" s="15"/>
      <c r="C152" s="9"/>
      <c r="D152" s="22"/>
      <c r="E152" s="27" t="str">
        <f aca="false">IF(B152="","",B152+'Your details'!$B$18)</f>
        <v/>
      </c>
      <c r="F152" s="15"/>
      <c r="G152" s="28" t="str">
        <f aca="true">IF(B152="","",IF(F152&lt;&gt;"","Paid",IF(TODAY()&gt;E152,"Overdue","Due")))</f>
        <v/>
      </c>
      <c r="H152" s="29" t="str">
        <f aca="true">IF(G152="Overdue",TODAY()-E152,"")</f>
        <v/>
      </c>
    </row>
    <row r="153" customFormat="false" ht="15" hidden="false" customHeight="false" outlineLevel="0" collapsed="false">
      <c r="A153" s="9"/>
      <c r="B153" s="15"/>
      <c r="C153" s="9"/>
      <c r="D153" s="22"/>
      <c r="E153" s="27" t="str">
        <f aca="false">IF(B153="","",B153+'Your details'!$B$18)</f>
        <v/>
      </c>
      <c r="F153" s="15"/>
      <c r="G153" s="28" t="str">
        <f aca="true">IF(B153="","",IF(F153&lt;&gt;"","Paid",IF(TODAY()&gt;E153,"Overdue","Due")))</f>
        <v/>
      </c>
      <c r="H153" s="29" t="str">
        <f aca="true">IF(G153="Overdue",TODAY()-E153,"")</f>
        <v/>
      </c>
    </row>
    <row r="154" customFormat="false" ht="15" hidden="false" customHeight="false" outlineLevel="0" collapsed="false">
      <c r="A154" s="9"/>
      <c r="B154" s="15"/>
      <c r="C154" s="9"/>
      <c r="D154" s="22"/>
      <c r="E154" s="27" t="str">
        <f aca="false">IF(B154="","",B154+'Your details'!$B$18)</f>
        <v/>
      </c>
      <c r="F154" s="15"/>
      <c r="G154" s="28" t="str">
        <f aca="true">IF(B154="","",IF(F154&lt;&gt;"","Paid",IF(TODAY()&gt;E154,"Overdue","Due")))</f>
        <v/>
      </c>
      <c r="H154" s="29" t="str">
        <f aca="true">IF(G154="Overdue",TODAY()-E154,"")</f>
        <v/>
      </c>
    </row>
    <row r="155" customFormat="false" ht="15" hidden="false" customHeight="false" outlineLevel="0" collapsed="false">
      <c r="A155" s="9"/>
      <c r="B155" s="15"/>
      <c r="C155" s="9"/>
      <c r="D155" s="22"/>
      <c r="E155" s="27" t="str">
        <f aca="false">IF(B155="","",B155+'Your details'!$B$18)</f>
        <v/>
      </c>
      <c r="F155" s="15"/>
      <c r="G155" s="28" t="str">
        <f aca="true">IF(B155="","",IF(F155&lt;&gt;"","Paid",IF(TODAY()&gt;E155,"Overdue","Due")))</f>
        <v/>
      </c>
      <c r="H155" s="29" t="str">
        <f aca="true">IF(G155="Overdue",TODAY()-E155,"")</f>
        <v/>
      </c>
    </row>
    <row r="156" customFormat="false" ht="15" hidden="false" customHeight="false" outlineLevel="0" collapsed="false">
      <c r="A156" s="9"/>
      <c r="B156" s="15"/>
      <c r="C156" s="9"/>
      <c r="D156" s="22"/>
      <c r="E156" s="27" t="str">
        <f aca="false">IF(B156="","",B156+'Your details'!$B$18)</f>
        <v/>
      </c>
      <c r="F156" s="15"/>
      <c r="G156" s="28" t="str">
        <f aca="true">IF(B156="","",IF(F156&lt;&gt;"","Paid",IF(TODAY()&gt;E156,"Overdue","Due")))</f>
        <v/>
      </c>
      <c r="H156" s="29" t="str">
        <f aca="true">IF(G156="Overdue",TODAY()-E156,"")</f>
        <v/>
      </c>
    </row>
    <row r="157" customFormat="false" ht="15" hidden="false" customHeight="false" outlineLevel="0" collapsed="false">
      <c r="A157" s="9"/>
      <c r="B157" s="15"/>
      <c r="C157" s="9"/>
      <c r="D157" s="22"/>
      <c r="E157" s="27" t="str">
        <f aca="false">IF(B157="","",B157+'Your details'!$B$18)</f>
        <v/>
      </c>
      <c r="F157" s="15"/>
      <c r="G157" s="28" t="str">
        <f aca="true">IF(B157="","",IF(F157&lt;&gt;"","Paid",IF(TODAY()&gt;E157,"Overdue","Due")))</f>
        <v/>
      </c>
      <c r="H157" s="29" t="str">
        <f aca="true">IF(G157="Overdue",TODAY()-E157,"")</f>
        <v/>
      </c>
    </row>
    <row r="158" customFormat="false" ht="15" hidden="false" customHeight="false" outlineLevel="0" collapsed="false">
      <c r="A158" s="9"/>
      <c r="B158" s="15"/>
      <c r="C158" s="9"/>
      <c r="D158" s="22"/>
      <c r="E158" s="27" t="str">
        <f aca="false">IF(B158="","",B158+'Your details'!$B$18)</f>
        <v/>
      </c>
      <c r="F158" s="15"/>
      <c r="G158" s="28" t="str">
        <f aca="true">IF(B158="","",IF(F158&lt;&gt;"","Paid",IF(TODAY()&gt;E158,"Overdue","Due")))</f>
        <v/>
      </c>
      <c r="H158" s="29" t="str">
        <f aca="true">IF(G158="Overdue",TODAY()-E158,"")</f>
        <v/>
      </c>
    </row>
    <row r="159" customFormat="false" ht="15" hidden="false" customHeight="false" outlineLevel="0" collapsed="false">
      <c r="A159" s="9"/>
      <c r="B159" s="15"/>
      <c r="C159" s="9"/>
      <c r="D159" s="22"/>
      <c r="E159" s="27" t="str">
        <f aca="false">IF(B159="","",B159+'Your details'!$B$18)</f>
        <v/>
      </c>
      <c r="F159" s="15"/>
      <c r="G159" s="28" t="str">
        <f aca="true">IF(B159="","",IF(F159&lt;&gt;"","Paid",IF(TODAY()&gt;E159,"Overdue","Due")))</f>
        <v/>
      </c>
      <c r="H159" s="29" t="str">
        <f aca="true">IF(G159="Overdue",TODAY()-E159,"")</f>
        <v/>
      </c>
    </row>
    <row r="160" customFormat="false" ht="15" hidden="false" customHeight="false" outlineLevel="0" collapsed="false">
      <c r="A160" s="9"/>
      <c r="B160" s="15"/>
      <c r="C160" s="9"/>
      <c r="D160" s="22"/>
      <c r="E160" s="27" t="str">
        <f aca="false">IF(B160="","",B160+'Your details'!$B$18)</f>
        <v/>
      </c>
      <c r="F160" s="15"/>
      <c r="G160" s="28" t="str">
        <f aca="true">IF(B160="","",IF(F160&lt;&gt;"","Paid",IF(TODAY()&gt;E160,"Overdue","Due")))</f>
        <v/>
      </c>
      <c r="H160" s="29" t="str">
        <f aca="true">IF(G160="Overdue",TODAY()-E160,"")</f>
        <v/>
      </c>
    </row>
    <row r="161" customFormat="false" ht="15" hidden="false" customHeight="false" outlineLevel="0" collapsed="false">
      <c r="A161" s="9"/>
      <c r="B161" s="15"/>
      <c r="C161" s="9"/>
      <c r="D161" s="22"/>
      <c r="E161" s="27" t="str">
        <f aca="false">IF(B161="","",B161+'Your details'!$B$18)</f>
        <v/>
      </c>
      <c r="F161" s="15"/>
      <c r="G161" s="28" t="str">
        <f aca="true">IF(B161="","",IF(F161&lt;&gt;"","Paid",IF(TODAY()&gt;E161,"Overdue","Due")))</f>
        <v/>
      </c>
      <c r="H161" s="29" t="str">
        <f aca="true">IF(G161="Overdue",TODAY()-E161,"")</f>
        <v/>
      </c>
    </row>
    <row r="162" customFormat="false" ht="15" hidden="false" customHeight="false" outlineLevel="0" collapsed="false">
      <c r="A162" s="9"/>
      <c r="B162" s="15"/>
      <c r="C162" s="9"/>
      <c r="D162" s="22"/>
      <c r="E162" s="27" t="str">
        <f aca="false">IF(B162="","",B162+'Your details'!$B$18)</f>
        <v/>
      </c>
      <c r="F162" s="15"/>
      <c r="G162" s="28" t="str">
        <f aca="true">IF(B162="","",IF(F162&lt;&gt;"","Paid",IF(TODAY()&gt;E162,"Overdue","Due")))</f>
        <v/>
      </c>
      <c r="H162" s="29" t="str">
        <f aca="true">IF(G162="Overdue",TODAY()-E162,"")</f>
        <v/>
      </c>
    </row>
    <row r="163" customFormat="false" ht="15" hidden="false" customHeight="false" outlineLevel="0" collapsed="false">
      <c r="A163" s="9"/>
      <c r="B163" s="15"/>
      <c r="C163" s="9"/>
      <c r="D163" s="22"/>
      <c r="E163" s="27" t="str">
        <f aca="false">IF(B163="","",B163+'Your details'!$B$18)</f>
        <v/>
      </c>
      <c r="F163" s="15"/>
      <c r="G163" s="28" t="str">
        <f aca="true">IF(B163="","",IF(F163&lt;&gt;"","Paid",IF(TODAY()&gt;E163,"Overdue","Due")))</f>
        <v/>
      </c>
      <c r="H163" s="29" t="str">
        <f aca="true">IF(G163="Overdue",TODAY()-E163,"")</f>
        <v/>
      </c>
    </row>
    <row r="164" customFormat="false" ht="15" hidden="false" customHeight="false" outlineLevel="0" collapsed="false">
      <c r="A164" s="9"/>
      <c r="B164" s="15"/>
      <c r="C164" s="9"/>
      <c r="D164" s="22"/>
      <c r="E164" s="27" t="str">
        <f aca="false">IF(B164="","",B164+'Your details'!$B$18)</f>
        <v/>
      </c>
      <c r="F164" s="15"/>
      <c r="G164" s="28" t="str">
        <f aca="true">IF(B164="","",IF(F164&lt;&gt;"","Paid",IF(TODAY()&gt;E164,"Overdue","Due")))</f>
        <v/>
      </c>
      <c r="H164" s="29" t="str">
        <f aca="true">IF(G164="Overdue",TODAY()-E164,"")</f>
        <v/>
      </c>
    </row>
    <row r="165" customFormat="false" ht="15" hidden="false" customHeight="false" outlineLevel="0" collapsed="false">
      <c r="A165" s="9"/>
      <c r="B165" s="15"/>
      <c r="C165" s="9"/>
      <c r="D165" s="22"/>
      <c r="E165" s="27" t="str">
        <f aca="false">IF(B165="","",B165+'Your details'!$B$18)</f>
        <v/>
      </c>
      <c r="F165" s="15"/>
      <c r="G165" s="28" t="str">
        <f aca="true">IF(B165="","",IF(F165&lt;&gt;"","Paid",IF(TODAY()&gt;E165,"Overdue","Due")))</f>
        <v/>
      </c>
      <c r="H165" s="29" t="str">
        <f aca="true">IF(G165="Overdue",TODAY()-E165,"")</f>
        <v/>
      </c>
    </row>
    <row r="166" customFormat="false" ht="15" hidden="false" customHeight="false" outlineLevel="0" collapsed="false">
      <c r="A166" s="9"/>
      <c r="B166" s="15"/>
      <c r="C166" s="9"/>
      <c r="D166" s="22"/>
      <c r="E166" s="27" t="str">
        <f aca="false">IF(B166="","",B166+'Your details'!$B$18)</f>
        <v/>
      </c>
      <c r="F166" s="15"/>
      <c r="G166" s="28" t="str">
        <f aca="true">IF(B166="","",IF(F166&lt;&gt;"","Paid",IF(TODAY()&gt;E166,"Overdue","Due")))</f>
        <v/>
      </c>
      <c r="H166" s="29" t="str">
        <f aca="true">IF(G166="Overdue",TODAY()-E166,"")</f>
        <v/>
      </c>
    </row>
    <row r="167" customFormat="false" ht="15" hidden="false" customHeight="false" outlineLevel="0" collapsed="false">
      <c r="A167" s="9"/>
      <c r="B167" s="15"/>
      <c r="C167" s="9"/>
      <c r="D167" s="22"/>
      <c r="E167" s="27" t="str">
        <f aca="false">IF(B167="","",B167+'Your details'!$B$18)</f>
        <v/>
      </c>
      <c r="F167" s="15"/>
      <c r="G167" s="28" t="str">
        <f aca="true">IF(B167="","",IF(F167&lt;&gt;"","Paid",IF(TODAY()&gt;E167,"Overdue","Due")))</f>
        <v/>
      </c>
      <c r="H167" s="29" t="str">
        <f aca="true">IF(G167="Overdue",TODAY()-E167,"")</f>
        <v/>
      </c>
    </row>
    <row r="168" customFormat="false" ht="15" hidden="false" customHeight="false" outlineLevel="0" collapsed="false">
      <c r="A168" s="9"/>
      <c r="B168" s="15"/>
      <c r="C168" s="9"/>
      <c r="D168" s="22"/>
      <c r="E168" s="27" t="str">
        <f aca="false">IF(B168="","",B168+'Your details'!$B$18)</f>
        <v/>
      </c>
      <c r="F168" s="15"/>
      <c r="G168" s="28" t="str">
        <f aca="true">IF(B168="","",IF(F168&lt;&gt;"","Paid",IF(TODAY()&gt;E168,"Overdue","Due")))</f>
        <v/>
      </c>
      <c r="H168" s="29" t="str">
        <f aca="true">IF(G168="Overdue",TODAY()-E168,"")</f>
        <v/>
      </c>
    </row>
    <row r="169" customFormat="false" ht="15" hidden="false" customHeight="false" outlineLevel="0" collapsed="false">
      <c r="A169" s="9"/>
      <c r="B169" s="15"/>
      <c r="C169" s="9"/>
      <c r="D169" s="22"/>
      <c r="E169" s="27" t="str">
        <f aca="false">IF(B169="","",B169+'Your details'!$B$18)</f>
        <v/>
      </c>
      <c r="F169" s="15"/>
      <c r="G169" s="28" t="str">
        <f aca="true">IF(B169="","",IF(F169&lt;&gt;"","Paid",IF(TODAY()&gt;E169,"Overdue","Due")))</f>
        <v/>
      </c>
      <c r="H169" s="29" t="str">
        <f aca="true">IF(G169="Overdue",TODAY()-E169,"")</f>
        <v/>
      </c>
    </row>
    <row r="170" customFormat="false" ht="15" hidden="false" customHeight="false" outlineLevel="0" collapsed="false">
      <c r="A170" s="9"/>
      <c r="B170" s="15"/>
      <c r="C170" s="9"/>
      <c r="D170" s="22"/>
      <c r="E170" s="27" t="str">
        <f aca="false">IF(B170="","",B170+'Your details'!$B$18)</f>
        <v/>
      </c>
      <c r="F170" s="15"/>
      <c r="G170" s="28" t="str">
        <f aca="true">IF(B170="","",IF(F170&lt;&gt;"","Paid",IF(TODAY()&gt;E170,"Overdue","Due")))</f>
        <v/>
      </c>
      <c r="H170" s="29" t="str">
        <f aca="true">IF(G170="Overdue",TODAY()-E170,"")</f>
        <v/>
      </c>
    </row>
    <row r="171" customFormat="false" ht="15" hidden="false" customHeight="false" outlineLevel="0" collapsed="false">
      <c r="A171" s="9"/>
      <c r="B171" s="15"/>
      <c r="C171" s="9"/>
      <c r="D171" s="22"/>
      <c r="E171" s="27" t="str">
        <f aca="false">IF(B171="","",B171+'Your details'!$B$18)</f>
        <v/>
      </c>
      <c r="F171" s="15"/>
      <c r="G171" s="28" t="str">
        <f aca="true">IF(B171="","",IF(F171&lt;&gt;"","Paid",IF(TODAY()&gt;E171,"Overdue","Due")))</f>
        <v/>
      </c>
      <c r="H171" s="29" t="str">
        <f aca="true">IF(G171="Overdue",TODAY()-E171,"")</f>
        <v/>
      </c>
    </row>
    <row r="172" customFormat="false" ht="15" hidden="false" customHeight="false" outlineLevel="0" collapsed="false">
      <c r="A172" s="9"/>
      <c r="B172" s="15"/>
      <c r="C172" s="9"/>
      <c r="D172" s="22"/>
      <c r="E172" s="27" t="str">
        <f aca="false">IF(B172="","",B172+'Your details'!$B$18)</f>
        <v/>
      </c>
      <c r="F172" s="15"/>
      <c r="G172" s="28" t="str">
        <f aca="true">IF(B172="","",IF(F172&lt;&gt;"","Paid",IF(TODAY()&gt;E172,"Overdue","Due")))</f>
        <v/>
      </c>
      <c r="H172" s="29" t="str">
        <f aca="true">IF(G172="Overdue",TODAY()-E172,"")</f>
        <v/>
      </c>
    </row>
    <row r="173" customFormat="false" ht="15" hidden="false" customHeight="false" outlineLevel="0" collapsed="false">
      <c r="A173" s="9"/>
      <c r="B173" s="15"/>
      <c r="C173" s="9"/>
      <c r="D173" s="22"/>
      <c r="E173" s="27" t="str">
        <f aca="false">IF(B173="","",B173+'Your details'!$B$18)</f>
        <v/>
      </c>
      <c r="F173" s="15"/>
      <c r="G173" s="28" t="str">
        <f aca="true">IF(B173="","",IF(F173&lt;&gt;"","Paid",IF(TODAY()&gt;E173,"Overdue","Due")))</f>
        <v/>
      </c>
      <c r="H173" s="29" t="str">
        <f aca="true">IF(G173="Overdue",TODAY()-E173,"")</f>
        <v/>
      </c>
    </row>
    <row r="174" customFormat="false" ht="15" hidden="false" customHeight="false" outlineLevel="0" collapsed="false">
      <c r="A174" s="9"/>
      <c r="B174" s="15"/>
      <c r="C174" s="9"/>
      <c r="D174" s="22"/>
      <c r="E174" s="27" t="str">
        <f aca="false">IF(B174="","",B174+'Your details'!$B$18)</f>
        <v/>
      </c>
      <c r="F174" s="15"/>
      <c r="G174" s="28" t="str">
        <f aca="true">IF(B174="","",IF(F174&lt;&gt;"","Paid",IF(TODAY()&gt;E174,"Overdue","Due")))</f>
        <v/>
      </c>
      <c r="H174" s="29" t="str">
        <f aca="true">IF(G174="Overdue",TODAY()-E174,"")</f>
        <v/>
      </c>
    </row>
    <row r="175" customFormat="false" ht="15" hidden="false" customHeight="false" outlineLevel="0" collapsed="false">
      <c r="A175" s="9"/>
      <c r="B175" s="15"/>
      <c r="C175" s="9"/>
      <c r="D175" s="22"/>
      <c r="E175" s="27" t="str">
        <f aca="false">IF(B175="","",B175+'Your details'!$B$18)</f>
        <v/>
      </c>
      <c r="F175" s="15"/>
      <c r="G175" s="28" t="str">
        <f aca="true">IF(B175="","",IF(F175&lt;&gt;"","Paid",IF(TODAY()&gt;E175,"Overdue","Due")))</f>
        <v/>
      </c>
      <c r="H175" s="29" t="str">
        <f aca="true">IF(G175="Overdue",TODAY()-E175,"")</f>
        <v/>
      </c>
    </row>
    <row r="176" customFormat="false" ht="15" hidden="false" customHeight="false" outlineLevel="0" collapsed="false">
      <c r="A176" s="9"/>
      <c r="B176" s="15"/>
      <c r="C176" s="9"/>
      <c r="D176" s="22"/>
      <c r="E176" s="27" t="str">
        <f aca="false">IF(B176="","",B176+'Your details'!$B$18)</f>
        <v/>
      </c>
      <c r="F176" s="15"/>
      <c r="G176" s="28" t="str">
        <f aca="true">IF(B176="","",IF(F176&lt;&gt;"","Paid",IF(TODAY()&gt;E176,"Overdue","Due")))</f>
        <v/>
      </c>
      <c r="H176" s="29" t="str">
        <f aca="true">IF(G176="Overdue",TODAY()-E176,"")</f>
        <v/>
      </c>
    </row>
    <row r="177" customFormat="false" ht="15" hidden="false" customHeight="false" outlineLevel="0" collapsed="false">
      <c r="A177" s="9"/>
      <c r="B177" s="15"/>
      <c r="C177" s="9"/>
      <c r="D177" s="22"/>
      <c r="E177" s="27" t="str">
        <f aca="false">IF(B177="","",B177+'Your details'!$B$18)</f>
        <v/>
      </c>
      <c r="F177" s="15"/>
      <c r="G177" s="28" t="str">
        <f aca="true">IF(B177="","",IF(F177&lt;&gt;"","Paid",IF(TODAY()&gt;E177,"Overdue","Due")))</f>
        <v/>
      </c>
      <c r="H177" s="29" t="str">
        <f aca="true">IF(G177="Overdue",TODAY()-E177,"")</f>
        <v/>
      </c>
    </row>
    <row r="178" customFormat="false" ht="15" hidden="false" customHeight="false" outlineLevel="0" collapsed="false">
      <c r="A178" s="9"/>
      <c r="B178" s="15"/>
      <c r="C178" s="9"/>
      <c r="D178" s="22"/>
      <c r="E178" s="27" t="str">
        <f aca="false">IF(B178="","",B178+'Your details'!$B$18)</f>
        <v/>
      </c>
      <c r="F178" s="15"/>
      <c r="G178" s="28" t="str">
        <f aca="true">IF(B178="","",IF(F178&lt;&gt;"","Paid",IF(TODAY()&gt;E178,"Overdue","Due")))</f>
        <v/>
      </c>
      <c r="H178" s="29" t="str">
        <f aca="true">IF(G178="Overdue",TODAY()-E178,"")</f>
        <v/>
      </c>
    </row>
    <row r="179" customFormat="false" ht="15" hidden="false" customHeight="false" outlineLevel="0" collapsed="false">
      <c r="A179" s="9"/>
      <c r="B179" s="15"/>
      <c r="C179" s="9"/>
      <c r="D179" s="22"/>
      <c r="E179" s="27" t="str">
        <f aca="false">IF(B179="","",B179+'Your details'!$B$18)</f>
        <v/>
      </c>
      <c r="F179" s="15"/>
      <c r="G179" s="28" t="str">
        <f aca="true">IF(B179="","",IF(F179&lt;&gt;"","Paid",IF(TODAY()&gt;E179,"Overdue","Due")))</f>
        <v/>
      </c>
      <c r="H179" s="29" t="str">
        <f aca="true">IF(G179="Overdue",TODAY()-E179,"")</f>
        <v/>
      </c>
    </row>
    <row r="180" customFormat="false" ht="15" hidden="false" customHeight="false" outlineLevel="0" collapsed="false">
      <c r="A180" s="9"/>
      <c r="B180" s="15"/>
      <c r="C180" s="9"/>
      <c r="D180" s="22"/>
      <c r="E180" s="27" t="str">
        <f aca="false">IF(B180="","",B180+'Your details'!$B$18)</f>
        <v/>
      </c>
      <c r="F180" s="15"/>
      <c r="G180" s="28" t="str">
        <f aca="true">IF(B180="","",IF(F180&lt;&gt;"","Paid",IF(TODAY()&gt;E180,"Overdue","Due")))</f>
        <v/>
      </c>
      <c r="H180" s="29" t="str">
        <f aca="true">IF(G180="Overdue",TODAY()-E180,"")</f>
        <v/>
      </c>
    </row>
    <row r="181" customFormat="false" ht="15" hidden="false" customHeight="false" outlineLevel="0" collapsed="false">
      <c r="A181" s="9"/>
      <c r="B181" s="15"/>
      <c r="C181" s="9"/>
      <c r="D181" s="22"/>
      <c r="E181" s="27" t="str">
        <f aca="false">IF(B181="","",B181+'Your details'!$B$18)</f>
        <v/>
      </c>
      <c r="F181" s="15"/>
      <c r="G181" s="28" t="str">
        <f aca="true">IF(B181="","",IF(F181&lt;&gt;"","Paid",IF(TODAY()&gt;E181,"Overdue","Due")))</f>
        <v/>
      </c>
      <c r="H181" s="29" t="str">
        <f aca="true">IF(G181="Overdue",TODAY()-E181,"")</f>
        <v/>
      </c>
    </row>
    <row r="182" customFormat="false" ht="15" hidden="false" customHeight="false" outlineLevel="0" collapsed="false">
      <c r="A182" s="9"/>
      <c r="B182" s="15"/>
      <c r="C182" s="9"/>
      <c r="D182" s="22"/>
      <c r="E182" s="27" t="str">
        <f aca="false">IF(B182="","",B182+'Your details'!$B$18)</f>
        <v/>
      </c>
      <c r="F182" s="15"/>
      <c r="G182" s="28" t="str">
        <f aca="true">IF(B182="","",IF(F182&lt;&gt;"","Paid",IF(TODAY()&gt;E182,"Overdue","Due")))</f>
        <v/>
      </c>
      <c r="H182" s="29" t="str">
        <f aca="true">IF(G182="Overdue",TODAY()-E182,"")</f>
        <v/>
      </c>
    </row>
    <row r="183" customFormat="false" ht="15" hidden="false" customHeight="false" outlineLevel="0" collapsed="false">
      <c r="A183" s="9"/>
      <c r="B183" s="15"/>
      <c r="C183" s="9"/>
      <c r="D183" s="22"/>
      <c r="E183" s="27" t="str">
        <f aca="false">IF(B183="","",B183+'Your details'!$B$18)</f>
        <v/>
      </c>
      <c r="F183" s="15"/>
      <c r="G183" s="28" t="str">
        <f aca="true">IF(B183="","",IF(F183&lt;&gt;"","Paid",IF(TODAY()&gt;E183,"Overdue","Due")))</f>
        <v/>
      </c>
      <c r="H183" s="29" t="str">
        <f aca="true">IF(G183="Overdue",TODAY()-E183,"")</f>
        <v/>
      </c>
    </row>
    <row r="184" customFormat="false" ht="15" hidden="false" customHeight="false" outlineLevel="0" collapsed="false">
      <c r="A184" s="9"/>
      <c r="B184" s="15"/>
      <c r="C184" s="9"/>
      <c r="D184" s="22"/>
      <c r="E184" s="27" t="str">
        <f aca="false">IF(B184="","",B184+'Your details'!$B$18)</f>
        <v/>
      </c>
      <c r="F184" s="15"/>
      <c r="G184" s="28" t="str">
        <f aca="true">IF(B184="","",IF(F184&lt;&gt;"","Paid",IF(TODAY()&gt;E184,"Overdue","Due")))</f>
        <v/>
      </c>
      <c r="H184" s="29" t="str">
        <f aca="true">IF(G184="Overdue",TODAY()-E184,"")</f>
        <v/>
      </c>
    </row>
    <row r="185" customFormat="false" ht="15" hidden="false" customHeight="false" outlineLevel="0" collapsed="false">
      <c r="A185" s="9"/>
      <c r="B185" s="15"/>
      <c r="C185" s="9"/>
      <c r="D185" s="22"/>
      <c r="E185" s="27" t="str">
        <f aca="false">IF(B185="","",B185+'Your details'!$B$18)</f>
        <v/>
      </c>
      <c r="F185" s="15"/>
      <c r="G185" s="28" t="str">
        <f aca="true">IF(B185="","",IF(F185&lt;&gt;"","Paid",IF(TODAY()&gt;E185,"Overdue","Due")))</f>
        <v/>
      </c>
      <c r="H185" s="29" t="str">
        <f aca="true">IF(G185="Overdue",TODAY()-E185,"")</f>
        <v/>
      </c>
    </row>
    <row r="186" customFormat="false" ht="15" hidden="false" customHeight="false" outlineLevel="0" collapsed="false">
      <c r="A186" s="9"/>
      <c r="B186" s="15"/>
      <c r="C186" s="9"/>
      <c r="D186" s="22"/>
      <c r="E186" s="27" t="str">
        <f aca="false">IF(B186="","",B186+'Your details'!$B$18)</f>
        <v/>
      </c>
      <c r="F186" s="15"/>
      <c r="G186" s="28" t="str">
        <f aca="true">IF(B186="","",IF(F186&lt;&gt;"","Paid",IF(TODAY()&gt;E186,"Overdue","Due")))</f>
        <v/>
      </c>
      <c r="H186" s="29" t="str">
        <f aca="true">IF(G186="Overdue",TODAY()-E186,"")</f>
        <v/>
      </c>
    </row>
    <row r="187" customFormat="false" ht="15" hidden="false" customHeight="false" outlineLevel="0" collapsed="false">
      <c r="A187" s="9"/>
      <c r="B187" s="15"/>
      <c r="C187" s="9"/>
      <c r="D187" s="22"/>
      <c r="E187" s="27" t="str">
        <f aca="false">IF(B187="","",B187+'Your details'!$B$18)</f>
        <v/>
      </c>
      <c r="F187" s="15"/>
      <c r="G187" s="28" t="str">
        <f aca="true">IF(B187="","",IF(F187&lt;&gt;"","Paid",IF(TODAY()&gt;E187,"Overdue","Due")))</f>
        <v/>
      </c>
      <c r="H187" s="29" t="str">
        <f aca="true">IF(G187="Overdue",TODAY()-E187,"")</f>
        <v/>
      </c>
    </row>
    <row r="188" customFormat="false" ht="15" hidden="false" customHeight="false" outlineLevel="0" collapsed="false">
      <c r="A188" s="9"/>
      <c r="B188" s="15"/>
      <c r="C188" s="9"/>
      <c r="D188" s="22"/>
      <c r="E188" s="27" t="str">
        <f aca="false">IF(B188="","",B188+'Your details'!$B$18)</f>
        <v/>
      </c>
      <c r="F188" s="15"/>
      <c r="G188" s="28" t="str">
        <f aca="true">IF(B188="","",IF(F188&lt;&gt;"","Paid",IF(TODAY()&gt;E188,"Overdue","Due")))</f>
        <v/>
      </c>
      <c r="H188" s="29" t="str">
        <f aca="true">IF(G188="Overdue",TODAY()-E188,"")</f>
        <v/>
      </c>
    </row>
    <row r="189" customFormat="false" ht="15" hidden="false" customHeight="false" outlineLevel="0" collapsed="false">
      <c r="A189" s="9"/>
      <c r="B189" s="15"/>
      <c r="C189" s="9"/>
      <c r="D189" s="22"/>
      <c r="E189" s="27" t="str">
        <f aca="false">IF(B189="","",B189+'Your details'!$B$18)</f>
        <v/>
      </c>
      <c r="F189" s="15"/>
      <c r="G189" s="28" t="str">
        <f aca="true">IF(B189="","",IF(F189&lt;&gt;"","Paid",IF(TODAY()&gt;E189,"Overdue","Due")))</f>
        <v/>
      </c>
      <c r="H189" s="29" t="str">
        <f aca="true">IF(G189="Overdue",TODAY()-E189,"")</f>
        <v/>
      </c>
    </row>
    <row r="190" customFormat="false" ht="15" hidden="false" customHeight="false" outlineLevel="0" collapsed="false">
      <c r="A190" s="9"/>
      <c r="B190" s="15"/>
      <c r="C190" s="9"/>
      <c r="D190" s="22"/>
      <c r="E190" s="27" t="str">
        <f aca="false">IF(B190="","",B190+'Your details'!$B$18)</f>
        <v/>
      </c>
      <c r="F190" s="15"/>
      <c r="G190" s="28" t="str">
        <f aca="true">IF(B190="","",IF(F190&lt;&gt;"","Paid",IF(TODAY()&gt;E190,"Overdue","Due")))</f>
        <v/>
      </c>
      <c r="H190" s="29" t="str">
        <f aca="true">IF(G190="Overdue",TODAY()-E190,"")</f>
        <v/>
      </c>
    </row>
    <row r="191" customFormat="false" ht="15" hidden="false" customHeight="false" outlineLevel="0" collapsed="false">
      <c r="A191" s="9"/>
      <c r="B191" s="15"/>
      <c r="C191" s="9"/>
      <c r="D191" s="22"/>
      <c r="E191" s="27" t="str">
        <f aca="false">IF(B191="","",B191+'Your details'!$B$18)</f>
        <v/>
      </c>
      <c r="F191" s="15"/>
      <c r="G191" s="28" t="str">
        <f aca="true">IF(B191="","",IF(F191&lt;&gt;"","Paid",IF(TODAY()&gt;E191,"Overdue","Due")))</f>
        <v/>
      </c>
      <c r="H191" s="29" t="str">
        <f aca="true">IF(G191="Overdue",TODAY()-E191,"")</f>
        <v/>
      </c>
    </row>
    <row r="192" customFormat="false" ht="15" hidden="false" customHeight="false" outlineLevel="0" collapsed="false">
      <c r="A192" s="9"/>
      <c r="B192" s="15"/>
      <c r="C192" s="9"/>
      <c r="D192" s="22"/>
      <c r="E192" s="27" t="str">
        <f aca="false">IF(B192="","",B192+'Your details'!$B$18)</f>
        <v/>
      </c>
      <c r="F192" s="15"/>
      <c r="G192" s="28" t="str">
        <f aca="true">IF(B192="","",IF(F192&lt;&gt;"","Paid",IF(TODAY()&gt;E192,"Overdue","Due")))</f>
        <v/>
      </c>
      <c r="H192" s="29" t="str">
        <f aca="true">IF(G192="Overdue",TODAY()-E192,"")</f>
        <v/>
      </c>
    </row>
    <row r="193" customFormat="false" ht="15" hidden="false" customHeight="false" outlineLevel="0" collapsed="false">
      <c r="A193" s="9"/>
      <c r="B193" s="15"/>
      <c r="C193" s="9"/>
      <c r="D193" s="22"/>
      <c r="E193" s="27" t="str">
        <f aca="false">IF(B193="","",B193+'Your details'!$B$18)</f>
        <v/>
      </c>
      <c r="F193" s="15"/>
      <c r="G193" s="28" t="str">
        <f aca="true">IF(B193="","",IF(F193&lt;&gt;"","Paid",IF(TODAY()&gt;E193,"Overdue","Due")))</f>
        <v/>
      </c>
      <c r="H193" s="29" t="str">
        <f aca="true">IF(G193="Overdue",TODAY()-E193,"")</f>
        <v/>
      </c>
    </row>
    <row r="194" customFormat="false" ht="15" hidden="false" customHeight="false" outlineLevel="0" collapsed="false">
      <c r="A194" s="9"/>
      <c r="B194" s="15"/>
      <c r="C194" s="9"/>
      <c r="D194" s="22"/>
      <c r="E194" s="27" t="str">
        <f aca="false">IF(B194="","",B194+'Your details'!$B$18)</f>
        <v/>
      </c>
      <c r="F194" s="15"/>
      <c r="G194" s="28" t="str">
        <f aca="true">IF(B194="","",IF(F194&lt;&gt;"","Paid",IF(TODAY()&gt;E194,"Overdue","Due")))</f>
        <v/>
      </c>
      <c r="H194" s="29" t="str">
        <f aca="true">IF(G194="Overdue",TODAY()-E194,"")</f>
        <v/>
      </c>
    </row>
    <row r="195" customFormat="false" ht="15" hidden="false" customHeight="false" outlineLevel="0" collapsed="false">
      <c r="A195" s="9"/>
      <c r="B195" s="15"/>
      <c r="C195" s="9"/>
      <c r="D195" s="22"/>
      <c r="E195" s="27" t="str">
        <f aca="false">IF(B195="","",B195+'Your details'!$B$18)</f>
        <v/>
      </c>
      <c r="F195" s="15"/>
      <c r="G195" s="28" t="str">
        <f aca="true">IF(B195="","",IF(F195&lt;&gt;"","Paid",IF(TODAY()&gt;E195,"Overdue","Due")))</f>
        <v/>
      </c>
      <c r="H195" s="29" t="str">
        <f aca="true">IF(G195="Overdue",TODAY()-E195,"")</f>
        <v/>
      </c>
    </row>
    <row r="196" customFormat="false" ht="15" hidden="false" customHeight="false" outlineLevel="0" collapsed="false">
      <c r="A196" s="9"/>
      <c r="B196" s="15"/>
      <c r="C196" s="9"/>
      <c r="D196" s="22"/>
      <c r="E196" s="27" t="str">
        <f aca="false">IF(B196="","",B196+'Your details'!$B$18)</f>
        <v/>
      </c>
      <c r="F196" s="15"/>
      <c r="G196" s="28" t="str">
        <f aca="true">IF(B196="","",IF(F196&lt;&gt;"","Paid",IF(TODAY()&gt;E196,"Overdue","Due")))</f>
        <v/>
      </c>
      <c r="H196" s="29" t="str">
        <f aca="true">IF(G196="Overdue",TODAY()-E196,"")</f>
        <v/>
      </c>
    </row>
    <row r="197" customFormat="false" ht="15" hidden="false" customHeight="false" outlineLevel="0" collapsed="false">
      <c r="A197" s="9"/>
      <c r="B197" s="15"/>
      <c r="C197" s="9"/>
      <c r="D197" s="22"/>
      <c r="E197" s="27" t="str">
        <f aca="false">IF(B197="","",B197+'Your details'!$B$18)</f>
        <v/>
      </c>
      <c r="F197" s="15"/>
      <c r="G197" s="28" t="str">
        <f aca="true">IF(B197="","",IF(F197&lt;&gt;"","Paid",IF(TODAY()&gt;E197,"Overdue","Due")))</f>
        <v/>
      </c>
      <c r="H197" s="29" t="str">
        <f aca="true">IF(G197="Overdue",TODAY()-E197,"")</f>
        <v/>
      </c>
    </row>
    <row r="198" customFormat="false" ht="15" hidden="false" customHeight="false" outlineLevel="0" collapsed="false">
      <c r="A198" s="9"/>
      <c r="B198" s="15"/>
      <c r="C198" s="9"/>
      <c r="D198" s="22"/>
      <c r="E198" s="27" t="str">
        <f aca="false">IF(B198="","",B198+'Your details'!$B$18)</f>
        <v/>
      </c>
      <c r="F198" s="15"/>
      <c r="G198" s="28" t="str">
        <f aca="true">IF(B198="","",IF(F198&lt;&gt;"","Paid",IF(TODAY()&gt;E198,"Overdue","Due")))</f>
        <v/>
      </c>
      <c r="H198" s="29" t="str">
        <f aca="true">IF(G198="Overdue",TODAY()-E198,"")</f>
        <v/>
      </c>
    </row>
    <row r="199" customFormat="false" ht="15" hidden="false" customHeight="false" outlineLevel="0" collapsed="false">
      <c r="A199" s="9"/>
      <c r="B199" s="15"/>
      <c r="C199" s="9"/>
      <c r="D199" s="22"/>
      <c r="E199" s="27" t="str">
        <f aca="false">IF(B199="","",B199+'Your details'!$B$18)</f>
        <v/>
      </c>
      <c r="F199" s="15"/>
      <c r="G199" s="28" t="str">
        <f aca="true">IF(B199="","",IF(F199&lt;&gt;"","Paid",IF(TODAY()&gt;E199,"Overdue","Due")))</f>
        <v/>
      </c>
      <c r="H199" s="29" t="str">
        <f aca="true">IF(G199="Overdue",TODAY()-E199,"")</f>
        <v/>
      </c>
    </row>
    <row r="200" customFormat="false" ht="15" hidden="false" customHeight="false" outlineLevel="0" collapsed="false">
      <c r="A200" s="9"/>
      <c r="B200" s="15"/>
      <c r="C200" s="9"/>
      <c r="D200" s="22"/>
      <c r="E200" s="27" t="str">
        <f aca="false">IF(B200="","",B200+'Your details'!$B$18)</f>
        <v/>
      </c>
      <c r="F200" s="15"/>
      <c r="G200" s="28" t="str">
        <f aca="true">IF(B200="","",IF(F200&lt;&gt;"","Paid",IF(TODAY()&gt;E200,"Overdue","Due")))</f>
        <v/>
      </c>
      <c r="H200" s="29" t="str">
        <f aca="true">IF(G200="Overdue",TODAY()-E200,"")</f>
        <v/>
      </c>
    </row>
    <row r="201" customFormat="false" ht="15" hidden="false" customHeight="false" outlineLevel="0" collapsed="false">
      <c r="A201" s="9"/>
      <c r="B201" s="15"/>
      <c r="C201" s="9"/>
      <c r="D201" s="22"/>
      <c r="E201" s="27" t="str">
        <f aca="false">IF(B201="","",B201+'Your details'!$B$18)</f>
        <v/>
      </c>
      <c r="F201" s="15"/>
      <c r="G201" s="28" t="str">
        <f aca="true">IF(B201="","",IF(F201&lt;&gt;"","Paid",IF(TODAY()&gt;E201,"Overdue","Due")))</f>
        <v/>
      </c>
      <c r="H201" s="29" t="str">
        <f aca="true">IF(G201="Overdue",TODAY()-E201,"")</f>
        <v/>
      </c>
    </row>
    <row r="202" customFormat="false" ht="15" hidden="false" customHeight="false" outlineLevel="0" collapsed="false">
      <c r="A202" s="9"/>
      <c r="B202" s="15"/>
      <c r="C202" s="9"/>
      <c r="D202" s="22"/>
      <c r="E202" s="27" t="str">
        <f aca="false">IF(B202="","",B202+'Your details'!$B$18)</f>
        <v/>
      </c>
      <c r="F202" s="15"/>
      <c r="G202" s="28" t="str">
        <f aca="true">IF(B202="","",IF(F202&lt;&gt;"","Paid",IF(TODAY()&gt;E202,"Overdue","Due")))</f>
        <v/>
      </c>
      <c r="H202" s="29" t="str">
        <f aca="true">IF(G202="Overdue",TODAY()-E202,"")</f>
        <v/>
      </c>
    </row>
    <row r="203" customFormat="false" ht="15" hidden="false" customHeight="false" outlineLevel="0" collapsed="false">
      <c r="A203" s="9"/>
      <c r="B203" s="15"/>
      <c r="C203" s="9"/>
      <c r="D203" s="22"/>
      <c r="E203" s="27" t="str">
        <f aca="false">IF(B203="","",B203+'Your details'!$B$18)</f>
        <v/>
      </c>
      <c r="F203" s="15"/>
      <c r="G203" s="28" t="str">
        <f aca="true">IF(B203="","",IF(F203&lt;&gt;"","Paid",IF(TODAY()&gt;E203,"Overdue","Due")))</f>
        <v/>
      </c>
      <c r="H203" s="29" t="str">
        <f aca="true">IF(G203="Overdue",TODAY()-E203,"")</f>
        <v/>
      </c>
    </row>
    <row r="204" customFormat="false" ht="15" hidden="false" customHeight="false" outlineLevel="0" collapsed="false">
      <c r="A204" s="9"/>
      <c r="B204" s="15"/>
      <c r="C204" s="9"/>
      <c r="D204" s="22"/>
      <c r="E204" s="27" t="str">
        <f aca="false">IF(B204="","",B204+'Your details'!$B$18)</f>
        <v/>
      </c>
      <c r="F204" s="15"/>
      <c r="G204" s="28" t="str">
        <f aca="true">IF(B204="","",IF(F204&lt;&gt;"","Paid",IF(TODAY()&gt;E204,"Overdue","Due")))</f>
        <v/>
      </c>
      <c r="H204" s="29" t="str">
        <f aca="true">IF(G204="Overdue",TODAY()-E204,"")</f>
        <v/>
      </c>
    </row>
  </sheetData>
  <conditionalFormatting sqref="G5:G204">
    <cfRule type="expression" priority="2" aboveAverage="0" equalAverage="0" bottom="0" percent="0" rank="0" text="" dxfId="0">
      <formula>$G5="Overdue"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2026-10-11T20:14:52Z</dcterms:created>
  <dc:creator>openpyxl</dc:creator>
  <dc:description/>
  <dc:language>en-US</dc:language>
  <cp:lastModifiedBy/>
  <dcterms:modified xsi:type="dcterms:W3CDTF">2026-10-11T20:14:52Z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