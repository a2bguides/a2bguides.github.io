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w to use" sheetId="1" state="visible" r:id="rId3"/>
    <sheet name="Jobs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Days after the invoice date that payment is due. GOV.UK: unless you agree a payment date, the customer must pay within 30 days.</t>
        </r>
      </text>
    </comment>
  </commentList>
</comments>
</file>

<file path=xl/sharedStrings.xml><?xml version="1.0" encoding="utf-8"?>
<sst xmlns="http://schemas.openxmlformats.org/spreadsheetml/2006/main" count="47" uniqueCount="45">
  <si>
    <t xml:space="preserve">Job and payment tracker</t>
  </si>
  <si>
    <t xml:space="preserve">A free template from A2B Guides. Not legal, tax or financial advice.</t>
  </si>
  <si>
    <t xml:space="preserve">What this does</t>
  </si>
  <si>
    <t xml:space="preserve">One row per job: quoted, invoiced, paid. It works out what you are owed, what is overdue and how much you invoiced each month.</t>
  </si>
  <si>
    <t xml:space="preserve">Which cells to fill in</t>
  </si>
  <si>
    <t xml:space="preserve">Yellow cells are yours to fill in, including your payment terms on the Summary sheet. Grey cells work themselves out.</t>
  </si>
  <si>
    <t xml:space="preserve">The green row is an example. Delete or overwrite it.</t>
  </si>
  <si>
    <t xml:space="preserve">Late payment</t>
  </si>
  <si>
    <t xml:space="preserve">For business customers, GOV.UK sets out statutory interest and fixed recovery sums for late payment. GOV.UK does not describe these as applying to householders. Read the guide before using them:</t>
  </si>
  <si>
    <t xml:space="preserve">https://www.gov.uk/late-commercial-payments-interest-debt-recovery</t>
  </si>
  <si>
    <t xml:space="preserve">Related guides</t>
  </si>
  <si>
    <t xml:space="preserve">https://a2bguides.github.io/guides/quote-invoice-templates/</t>
  </si>
  <si>
    <t xml:space="preserve">https://a2bguides.github.io/guides/trade-job-apps/</t>
  </si>
  <si>
    <t xml:space="preserve">When you outgrow a spreadsheet, the job-management apps guide compares paid options.</t>
  </si>
  <si>
    <t xml:space="preserve">Jobs</t>
  </si>
  <si>
    <t xml:space="preserve">One row per job. Status updates itself.</t>
  </si>
  <si>
    <t xml:space="preserve">Job ref</t>
  </si>
  <si>
    <t xml:space="preserve">Customer</t>
  </si>
  <si>
    <t xml:space="preserve">Postcode</t>
  </si>
  <si>
    <t xml:space="preserve">Start date</t>
  </si>
  <si>
    <t xml:space="preserve">Finish date</t>
  </si>
  <si>
    <t xml:space="preserve">Quoted (£)</t>
  </si>
  <si>
    <t xml:space="preserve">Invoice no.</t>
  </si>
  <si>
    <t xml:space="preserve">Invoice date</t>
  </si>
  <si>
    <t xml:space="preserve">Invoiced (£)</t>
  </si>
  <si>
    <t xml:space="preserve">Due date</t>
  </si>
  <si>
    <t xml:space="preserve">Paid (£)</t>
  </si>
  <si>
    <t xml:space="preserve">Date paid</t>
  </si>
  <si>
    <t xml:space="preserve">Outstanding (£)</t>
  </si>
  <si>
    <t xml:space="preserve">Status</t>
  </si>
  <si>
    <t xml:space="preserve">J001</t>
  </si>
  <si>
    <t xml:space="preserve">Sam Customer</t>
  </si>
  <si>
    <t xml:space="preserve">EX2 2BB</t>
  </si>
  <si>
    <t xml:space="preserve">0001</t>
  </si>
  <si>
    <t xml:space="preserve">Summary</t>
  </si>
  <si>
    <t xml:space="preserve">Everything here works itself out from the Jobs sheet, apart from the yellow cells.</t>
  </si>
  <si>
    <t xml:space="preserve">Payment terms (days)</t>
  </si>
  <si>
    <t xml:space="preserve">Year for the monthly table</t>
  </si>
  <si>
    <t xml:space="preserve">Invoiced (all time)</t>
  </si>
  <si>
    <t xml:space="preserve">Paid (all time)</t>
  </si>
  <si>
    <t xml:space="preserve">Owed to you now</t>
  </si>
  <si>
    <t xml:space="preserve">Of which overdue</t>
  </si>
  <si>
    <t xml:space="preserve">Jobs finished but not invoiced</t>
  </si>
  <si>
    <t xml:space="preserve">Month</t>
  </si>
  <si>
    <t xml:space="preserve">Year 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</si>
</sst>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 mmm\ yyyy"/>
    <numFmt numFmtId="166" formatCode="\£#,##0.00;&quot;-£&quot;#,##0.00;\–"/>
    <numFmt numFmtId="167" formatCode="0"/>
    <numFmt numFmtId="168" formatCode="mmmm\ yyyy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6B4A"/>
      <name val="Arial"/>
      <family val="0"/>
      <charset val="1"/>
    </font>
    <font>
      <i val="true"/>
      <sz val="10"/>
      <color rgb="FF5B6B62"/>
      <name val="Arial"/>
      <family val="0"/>
      <charset val="1"/>
    </font>
    <font>
      <b val="true"/>
      <sz val="12"/>
      <color rgb="FF1E6B4A"/>
      <name val="Arial"/>
      <family val="0"/>
      <charset val="1"/>
    </font>
    <font>
      <sz val="10"/>
      <color rgb="FF1F2A24"/>
      <name val="Arial"/>
      <family val="0"/>
      <charset val="1"/>
    </font>
    <font>
      <u val="single"/>
      <sz val="10"/>
      <color rgb="FF1155C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2A24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4C2"/>
        <bgColor rgb="FFFFFF99"/>
      </patternFill>
    </fill>
    <fill>
      <patternFill patternType="solid">
        <fgColor rgb="FFEAF3EE"/>
        <bgColor rgb="FFF3F6F4"/>
      </patternFill>
    </fill>
    <fill>
      <patternFill patternType="solid">
        <fgColor rgb="FF1E6B4A"/>
        <bgColor rgb="FF008080"/>
      </patternFill>
    </fill>
    <fill>
      <patternFill patternType="solid">
        <fgColor rgb="FFF3F6F4"/>
        <bgColor rgb="FFEAF3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CD"/>
      </left>
      <right style="thin">
        <color rgb="FFC9D3CD"/>
      </right>
      <top style="thin">
        <color rgb="FFC9D3CD"/>
      </top>
      <bottom style="thin">
        <color rgb="FFC9D3C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D7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6B4A"/>
      <rgbColor rgb="FFC9D3CD"/>
      <rgbColor rgb="FF808080"/>
      <rgbColor rgb="FF9999FF"/>
      <rgbColor rgb="FF993366"/>
      <rgbColor rgb="FFFFF4C2"/>
      <rgbColor rgb="FFEAF3EE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4"/>
      <rgbColor rgb="FFCCFFCC"/>
      <rgbColor rgb="FFFFFF99"/>
      <rgbColor rgb="FF99CCFF"/>
      <rgbColor rgb="FFFF99CC"/>
      <rgbColor rgb="FFCC99FF"/>
      <rgbColor rgb="FFF8D7D3"/>
      <rgbColor rgb="FF3366FF"/>
      <rgbColor rgb="FF33CCCC"/>
      <rgbColor rgb="FF99CC00"/>
      <rgbColor rgb="FFFFCC00"/>
      <rgbColor rgb="FFFF9900"/>
      <rgbColor rgb="FFFF6600"/>
      <rgbColor rgb="FF5B6B6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gov.uk/late-commercial-payments-interest-debt-recovery" TargetMode="External"/><Relationship Id="rId2" Type="http://schemas.openxmlformats.org/officeDocument/2006/relationships/hyperlink" Target="https://a2bguides.github.io/guides/quote-invoice-templates/" TargetMode="External"/><Relationship Id="rId3" Type="http://schemas.openxmlformats.org/officeDocument/2006/relationships/hyperlink" Target="https://a2bguides.github.io/guides/trade-job-apps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23.85" hidden="false" customHeight="false" outlineLevel="0" collapsed="false">
      <c r="A5" s="4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5" t="s">
        <v>5</v>
      </c>
    </row>
    <row r="8" customFormat="false" ht="15" hidden="false" customHeight="false" outlineLevel="0" collapsed="false">
      <c r="A8" s="6" t="s">
        <v>6</v>
      </c>
    </row>
    <row r="9" customFormat="false" ht="15" hidden="false" customHeight="false" outlineLevel="0" collapsed="false">
      <c r="A9" s="3" t="s">
        <v>7</v>
      </c>
    </row>
    <row r="10" customFormat="false" ht="23.85" hidden="false" customHeight="false" outlineLevel="0" collapsed="false">
      <c r="A10" s="4" t="s">
        <v>8</v>
      </c>
    </row>
    <row r="11" customFormat="false" ht="15" hidden="false" customHeight="false" outlineLevel="0" collapsed="false">
      <c r="A11" s="7" t="s">
        <v>9</v>
      </c>
    </row>
    <row r="12" customFormat="false" ht="1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7" t="s">
        <v>11</v>
      </c>
    </row>
    <row r="14" customFormat="false" ht="15" hidden="false" customHeight="false" outlineLevel="0" collapsed="false">
      <c r="A14" s="7" t="s">
        <v>12</v>
      </c>
    </row>
    <row r="15" customFormat="false" ht="15" hidden="false" customHeight="false" outlineLevel="0" collapsed="false">
      <c r="A15" s="4" t="s">
        <v>13</v>
      </c>
    </row>
  </sheetData>
  <hyperlinks>
    <hyperlink ref="A11" r:id="rId1" display="https://www.gov.uk/late-commercial-payments-interest-debt-recovery"/>
    <hyperlink ref="A13" r:id="rId2" display="https://a2bguides.github.io/guides/quote-invoice-templates/"/>
    <hyperlink ref="A14" r:id="rId3" display="https://a2bguides.github.io/guides/trade-job-app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5" min="4" style="0" width="13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12"/>
  </cols>
  <sheetData>
    <row r="1" customFormat="false" ht="19.7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4" customFormat="false" ht="30" hidden="false" customHeight="true" outlineLevel="0" collapsed="false">
      <c r="A4" s="8" t="s">
        <v>16</v>
      </c>
      <c r="B4" s="8" t="s">
        <v>17</v>
      </c>
      <c r="C4" s="8" t="s">
        <v>18</v>
      </c>
      <c r="D4" s="8" t="s">
        <v>19</v>
      </c>
      <c r="E4" s="8" t="s">
        <v>20</v>
      </c>
      <c r="F4" s="8" t="s">
        <v>21</v>
      </c>
      <c r="G4" s="8" t="s">
        <v>22</v>
      </c>
      <c r="H4" s="8" t="s">
        <v>23</v>
      </c>
      <c r="I4" s="8" t="s">
        <v>24</v>
      </c>
      <c r="J4" s="8" t="s">
        <v>25</v>
      </c>
      <c r="K4" s="8" t="s">
        <v>26</v>
      </c>
      <c r="L4" s="8" t="s">
        <v>27</v>
      </c>
      <c r="M4" s="8" t="s">
        <v>28</v>
      </c>
      <c r="N4" s="8" t="s">
        <v>29</v>
      </c>
    </row>
    <row r="5" customFormat="false" ht="15" hidden="false" customHeight="false" outlineLevel="0" collapsed="false">
      <c r="A5" s="9" t="s">
        <v>30</v>
      </c>
      <c r="B5" s="9" t="s">
        <v>31</v>
      </c>
      <c r="C5" s="9" t="s">
        <v>32</v>
      </c>
      <c r="D5" s="10" t="n">
        <v>46310</v>
      </c>
      <c r="E5" s="10" t="n">
        <v>46310</v>
      </c>
      <c r="F5" s="11" t="n">
        <v>188</v>
      </c>
      <c r="G5" s="9" t="s">
        <v>33</v>
      </c>
      <c r="H5" s="10" t="n">
        <v>46315</v>
      </c>
      <c r="I5" s="11" t="n">
        <v>188</v>
      </c>
      <c r="J5" s="12" t="n">
        <f aca="false">IF(H5="","",H5+Summary!$B$4)</f>
        <v>46329</v>
      </c>
      <c r="K5" s="11" t="n">
        <v>188</v>
      </c>
      <c r="L5" s="10" t="n">
        <v>46323</v>
      </c>
      <c r="M5" s="13" t="n">
        <f aca="false">IF(I5="","",I5-N(K5))</f>
        <v>0</v>
      </c>
      <c r="N5" s="14" t="str">
        <f aca="true">IF(A5="","",IF(I5="",IF(E5&lt;&gt;"","To invoice","In progress"),IF(M5&lt;=0,"Paid",IF(TODAY()&gt;J5,"Overdue","Awaiting payment"))))</f>
        <v>Paid</v>
      </c>
    </row>
    <row r="6" customFormat="false" ht="15" hidden="false" customHeight="false" outlineLevel="0" collapsed="false">
      <c r="A6" s="15"/>
      <c r="B6" s="15"/>
      <c r="C6" s="15"/>
      <c r="D6" s="16"/>
      <c r="E6" s="16"/>
      <c r="F6" s="17"/>
      <c r="G6" s="15"/>
      <c r="H6" s="16"/>
      <c r="I6" s="17"/>
      <c r="J6" s="12" t="str">
        <f aca="false">IF(H6="","",H6+Summary!$B$4)</f>
        <v/>
      </c>
      <c r="K6" s="17"/>
      <c r="L6" s="16"/>
      <c r="M6" s="13" t="str">
        <f aca="false">IF(I6="","",I6-N(K6))</f>
        <v/>
      </c>
      <c r="N6" s="14" t="str">
        <f aca="true">IF(A6="","",IF(I6="",IF(E6&lt;&gt;"","To invoice","In progress"),IF(M6&lt;=0,"Paid",IF(TODAY()&gt;J6,"Overdue","Awaiting payment"))))</f>
        <v/>
      </c>
    </row>
    <row r="7" customFormat="false" ht="15" hidden="false" customHeight="false" outlineLevel="0" collapsed="false">
      <c r="A7" s="15"/>
      <c r="B7" s="15"/>
      <c r="C7" s="15"/>
      <c r="D7" s="16"/>
      <c r="E7" s="16"/>
      <c r="F7" s="17"/>
      <c r="G7" s="15"/>
      <c r="H7" s="16"/>
      <c r="I7" s="17"/>
      <c r="J7" s="12" t="str">
        <f aca="false">IF(H7="","",H7+Summary!$B$4)</f>
        <v/>
      </c>
      <c r="K7" s="17"/>
      <c r="L7" s="16"/>
      <c r="M7" s="13" t="str">
        <f aca="false">IF(I7="","",I7-N(K7))</f>
        <v/>
      </c>
      <c r="N7" s="14" t="str">
        <f aca="true">IF(A7="","",IF(I7="",IF(E7&lt;&gt;"","To invoice","In progress"),IF(M7&lt;=0,"Paid",IF(TODAY()&gt;J7,"Overdue","Awaiting payment"))))</f>
        <v/>
      </c>
    </row>
    <row r="8" customFormat="false" ht="15" hidden="false" customHeight="false" outlineLevel="0" collapsed="false">
      <c r="A8" s="15"/>
      <c r="B8" s="15"/>
      <c r="C8" s="15"/>
      <c r="D8" s="16"/>
      <c r="E8" s="16"/>
      <c r="F8" s="17"/>
      <c r="G8" s="15"/>
      <c r="H8" s="16"/>
      <c r="I8" s="17"/>
      <c r="J8" s="12" t="str">
        <f aca="false">IF(H8="","",H8+Summary!$B$4)</f>
        <v/>
      </c>
      <c r="K8" s="17"/>
      <c r="L8" s="16"/>
      <c r="M8" s="13" t="str">
        <f aca="false">IF(I8="","",I8-N(K8))</f>
        <v/>
      </c>
      <c r="N8" s="14" t="str">
        <f aca="true">IF(A8="","",IF(I8="",IF(E8&lt;&gt;"","To invoice","In progress"),IF(M8&lt;=0,"Paid",IF(TODAY()&gt;J8,"Overdue","Awaiting payment"))))</f>
        <v/>
      </c>
    </row>
    <row r="9" customFormat="false" ht="15" hidden="false" customHeight="false" outlineLevel="0" collapsed="false">
      <c r="A9" s="15"/>
      <c r="B9" s="15"/>
      <c r="C9" s="15"/>
      <c r="D9" s="16"/>
      <c r="E9" s="16"/>
      <c r="F9" s="17"/>
      <c r="G9" s="15"/>
      <c r="H9" s="16"/>
      <c r="I9" s="17"/>
      <c r="J9" s="12" t="str">
        <f aca="false">IF(H9="","",H9+Summary!$B$4)</f>
        <v/>
      </c>
      <c r="K9" s="17"/>
      <c r="L9" s="16"/>
      <c r="M9" s="13" t="str">
        <f aca="false">IF(I9="","",I9-N(K9))</f>
        <v/>
      </c>
      <c r="N9" s="14" t="str">
        <f aca="true">IF(A9="","",IF(I9="",IF(E9&lt;&gt;"","To invoice","In progress"),IF(M9&lt;=0,"Paid",IF(TODAY()&gt;J9,"Overdue","Awaiting payment"))))</f>
        <v/>
      </c>
    </row>
    <row r="10" customFormat="false" ht="15" hidden="false" customHeight="false" outlineLevel="0" collapsed="false">
      <c r="A10" s="15"/>
      <c r="B10" s="15"/>
      <c r="C10" s="15"/>
      <c r="D10" s="16"/>
      <c r="E10" s="16"/>
      <c r="F10" s="17"/>
      <c r="G10" s="15"/>
      <c r="H10" s="16"/>
      <c r="I10" s="17"/>
      <c r="J10" s="12" t="str">
        <f aca="false">IF(H10="","",H10+Summary!$B$4)</f>
        <v/>
      </c>
      <c r="K10" s="17"/>
      <c r="L10" s="16"/>
      <c r="M10" s="13" t="str">
        <f aca="false">IF(I10="","",I10-N(K10))</f>
        <v/>
      </c>
      <c r="N10" s="14" t="str">
        <f aca="true">IF(A10="","",IF(I10="",IF(E10&lt;&gt;"","To invoice","In progress"),IF(M10&lt;=0,"Paid",IF(TODAY()&gt;J10,"Overdue","Awaiting payment"))))</f>
        <v/>
      </c>
    </row>
    <row r="11" customFormat="false" ht="15" hidden="false" customHeight="false" outlineLevel="0" collapsed="false">
      <c r="A11" s="15"/>
      <c r="B11" s="15"/>
      <c r="C11" s="15"/>
      <c r="D11" s="16"/>
      <c r="E11" s="16"/>
      <c r="F11" s="17"/>
      <c r="G11" s="15"/>
      <c r="H11" s="16"/>
      <c r="I11" s="17"/>
      <c r="J11" s="12" t="str">
        <f aca="false">IF(H11="","",H11+Summary!$B$4)</f>
        <v/>
      </c>
      <c r="K11" s="17"/>
      <c r="L11" s="16"/>
      <c r="M11" s="13" t="str">
        <f aca="false">IF(I11="","",I11-N(K11))</f>
        <v/>
      </c>
      <c r="N11" s="14" t="str">
        <f aca="true">IF(A11="","",IF(I11="",IF(E11&lt;&gt;"","To invoice","In progress"),IF(M11&lt;=0,"Paid",IF(TODAY()&gt;J11,"Overdue","Awaiting payment"))))</f>
        <v/>
      </c>
    </row>
    <row r="12" customFormat="false" ht="15" hidden="false" customHeight="false" outlineLevel="0" collapsed="false">
      <c r="A12" s="15"/>
      <c r="B12" s="15"/>
      <c r="C12" s="15"/>
      <c r="D12" s="16"/>
      <c r="E12" s="16"/>
      <c r="F12" s="17"/>
      <c r="G12" s="15"/>
      <c r="H12" s="16"/>
      <c r="I12" s="17"/>
      <c r="J12" s="12" t="str">
        <f aca="false">IF(H12="","",H12+Summary!$B$4)</f>
        <v/>
      </c>
      <c r="K12" s="17"/>
      <c r="L12" s="16"/>
      <c r="M12" s="13" t="str">
        <f aca="false">IF(I12="","",I12-N(K12))</f>
        <v/>
      </c>
      <c r="N12" s="14" t="str">
        <f aca="true">IF(A12="","",IF(I12="",IF(E12&lt;&gt;"","To invoice","In progress"),IF(M12&lt;=0,"Paid",IF(TODAY()&gt;J12,"Overdue","Awaiting payment"))))</f>
        <v/>
      </c>
    </row>
    <row r="13" customFormat="false" ht="15" hidden="false" customHeight="false" outlineLevel="0" collapsed="false">
      <c r="A13" s="15"/>
      <c r="B13" s="15"/>
      <c r="C13" s="15"/>
      <c r="D13" s="16"/>
      <c r="E13" s="16"/>
      <c r="F13" s="17"/>
      <c r="G13" s="15"/>
      <c r="H13" s="16"/>
      <c r="I13" s="17"/>
      <c r="J13" s="12" t="str">
        <f aca="false">IF(H13="","",H13+Summary!$B$4)</f>
        <v/>
      </c>
      <c r="K13" s="17"/>
      <c r="L13" s="16"/>
      <c r="M13" s="13" t="str">
        <f aca="false">IF(I13="","",I13-N(K13))</f>
        <v/>
      </c>
      <c r="N13" s="14" t="str">
        <f aca="true">IF(A13="","",IF(I13="",IF(E13&lt;&gt;"","To invoice","In progress"),IF(M13&lt;=0,"Paid",IF(TODAY()&gt;J13,"Overdue","Awaiting payment"))))</f>
        <v/>
      </c>
    </row>
    <row r="14" customFormat="false" ht="15" hidden="false" customHeight="false" outlineLevel="0" collapsed="false">
      <c r="A14" s="15"/>
      <c r="B14" s="15"/>
      <c r="C14" s="15"/>
      <c r="D14" s="16"/>
      <c r="E14" s="16"/>
      <c r="F14" s="17"/>
      <c r="G14" s="15"/>
      <c r="H14" s="16"/>
      <c r="I14" s="17"/>
      <c r="J14" s="12" t="str">
        <f aca="false">IF(H14="","",H14+Summary!$B$4)</f>
        <v/>
      </c>
      <c r="K14" s="17"/>
      <c r="L14" s="16"/>
      <c r="M14" s="13" t="str">
        <f aca="false">IF(I14="","",I14-N(K14))</f>
        <v/>
      </c>
      <c r="N14" s="14" t="str">
        <f aca="true">IF(A14="","",IF(I14="",IF(E14&lt;&gt;"","To invoice","In progress"),IF(M14&lt;=0,"Paid",IF(TODAY()&gt;J14,"Overdue","Awaiting payment"))))</f>
        <v/>
      </c>
    </row>
    <row r="15" customFormat="false" ht="15" hidden="false" customHeight="false" outlineLevel="0" collapsed="false">
      <c r="A15" s="15"/>
      <c r="B15" s="15"/>
      <c r="C15" s="15"/>
      <c r="D15" s="16"/>
      <c r="E15" s="16"/>
      <c r="F15" s="17"/>
      <c r="G15" s="15"/>
      <c r="H15" s="16"/>
      <c r="I15" s="17"/>
      <c r="J15" s="12" t="str">
        <f aca="false">IF(H15="","",H15+Summary!$B$4)</f>
        <v/>
      </c>
      <c r="K15" s="17"/>
      <c r="L15" s="16"/>
      <c r="M15" s="13" t="str">
        <f aca="false">IF(I15="","",I15-N(K15))</f>
        <v/>
      </c>
      <c r="N15" s="14" t="str">
        <f aca="true">IF(A15="","",IF(I15="",IF(E15&lt;&gt;"","To invoice","In progress"),IF(M15&lt;=0,"Paid",IF(TODAY()&gt;J15,"Overdue","Awaiting payment"))))</f>
        <v/>
      </c>
    </row>
    <row r="16" customFormat="false" ht="15" hidden="false" customHeight="false" outlineLevel="0" collapsed="false">
      <c r="A16" s="15"/>
      <c r="B16" s="15"/>
      <c r="C16" s="15"/>
      <c r="D16" s="16"/>
      <c r="E16" s="16"/>
      <c r="F16" s="17"/>
      <c r="G16" s="15"/>
      <c r="H16" s="16"/>
      <c r="I16" s="17"/>
      <c r="J16" s="12" t="str">
        <f aca="false">IF(H16="","",H16+Summary!$B$4)</f>
        <v/>
      </c>
      <c r="K16" s="17"/>
      <c r="L16" s="16"/>
      <c r="M16" s="13" t="str">
        <f aca="false">IF(I16="","",I16-N(K16))</f>
        <v/>
      </c>
      <c r="N16" s="14" t="str">
        <f aca="true">IF(A16="","",IF(I16="",IF(E16&lt;&gt;"","To invoice","In progress"),IF(M16&lt;=0,"Paid",IF(TODAY()&gt;J16,"Overdue","Awaiting payment"))))</f>
        <v/>
      </c>
    </row>
    <row r="17" customFormat="false" ht="15" hidden="false" customHeight="false" outlineLevel="0" collapsed="false">
      <c r="A17" s="15"/>
      <c r="B17" s="15"/>
      <c r="C17" s="15"/>
      <c r="D17" s="16"/>
      <c r="E17" s="16"/>
      <c r="F17" s="17"/>
      <c r="G17" s="15"/>
      <c r="H17" s="16"/>
      <c r="I17" s="17"/>
      <c r="J17" s="12" t="str">
        <f aca="false">IF(H17="","",H17+Summary!$B$4)</f>
        <v/>
      </c>
      <c r="K17" s="17"/>
      <c r="L17" s="16"/>
      <c r="M17" s="13" t="str">
        <f aca="false">IF(I17="","",I17-N(K17))</f>
        <v/>
      </c>
      <c r="N17" s="14" t="str">
        <f aca="true">IF(A17="","",IF(I17="",IF(E17&lt;&gt;"","To invoice","In progress"),IF(M17&lt;=0,"Paid",IF(TODAY()&gt;J17,"Overdue","Awaiting payment"))))</f>
        <v/>
      </c>
    </row>
    <row r="18" customFormat="false" ht="15" hidden="false" customHeight="false" outlineLevel="0" collapsed="false">
      <c r="A18" s="15"/>
      <c r="B18" s="15"/>
      <c r="C18" s="15"/>
      <c r="D18" s="16"/>
      <c r="E18" s="16"/>
      <c r="F18" s="17"/>
      <c r="G18" s="15"/>
      <c r="H18" s="16"/>
      <c r="I18" s="17"/>
      <c r="J18" s="12" t="str">
        <f aca="false">IF(H18="","",H18+Summary!$B$4)</f>
        <v/>
      </c>
      <c r="K18" s="17"/>
      <c r="L18" s="16"/>
      <c r="M18" s="13" t="str">
        <f aca="false">IF(I18="","",I18-N(K18))</f>
        <v/>
      </c>
      <c r="N18" s="14" t="str">
        <f aca="true">IF(A18="","",IF(I18="",IF(E18&lt;&gt;"","To invoice","In progress"),IF(M18&lt;=0,"Paid",IF(TODAY()&gt;J18,"Overdue","Awaiting payment"))))</f>
        <v/>
      </c>
    </row>
    <row r="19" customFormat="false" ht="15" hidden="false" customHeight="false" outlineLevel="0" collapsed="false">
      <c r="A19" s="15"/>
      <c r="B19" s="15"/>
      <c r="C19" s="15"/>
      <c r="D19" s="16"/>
      <c r="E19" s="16"/>
      <c r="F19" s="17"/>
      <c r="G19" s="15"/>
      <c r="H19" s="16"/>
      <c r="I19" s="17"/>
      <c r="J19" s="12" t="str">
        <f aca="false">IF(H19="","",H19+Summary!$B$4)</f>
        <v/>
      </c>
      <c r="K19" s="17"/>
      <c r="L19" s="16"/>
      <c r="M19" s="13" t="str">
        <f aca="false">IF(I19="","",I19-N(K19))</f>
        <v/>
      </c>
      <c r="N19" s="14" t="str">
        <f aca="true">IF(A19="","",IF(I19="",IF(E19&lt;&gt;"","To invoice","In progress"),IF(M19&lt;=0,"Paid",IF(TODAY()&gt;J19,"Overdue","Awaiting payment"))))</f>
        <v/>
      </c>
    </row>
    <row r="20" customFormat="false" ht="15" hidden="false" customHeight="false" outlineLevel="0" collapsed="false">
      <c r="A20" s="15"/>
      <c r="B20" s="15"/>
      <c r="C20" s="15"/>
      <c r="D20" s="16"/>
      <c r="E20" s="16"/>
      <c r="F20" s="17"/>
      <c r="G20" s="15"/>
      <c r="H20" s="16"/>
      <c r="I20" s="17"/>
      <c r="J20" s="12" t="str">
        <f aca="false">IF(H20="","",H20+Summary!$B$4)</f>
        <v/>
      </c>
      <c r="K20" s="17"/>
      <c r="L20" s="16"/>
      <c r="M20" s="13" t="str">
        <f aca="false">IF(I20="","",I20-N(K20))</f>
        <v/>
      </c>
      <c r="N20" s="14" t="str">
        <f aca="true">IF(A20="","",IF(I20="",IF(E20&lt;&gt;"","To invoice","In progress"),IF(M20&lt;=0,"Paid",IF(TODAY()&gt;J20,"Overdue","Awaiting payment"))))</f>
        <v/>
      </c>
    </row>
    <row r="21" customFormat="false" ht="15" hidden="false" customHeight="false" outlineLevel="0" collapsed="false">
      <c r="A21" s="15"/>
      <c r="B21" s="15"/>
      <c r="C21" s="15"/>
      <c r="D21" s="16"/>
      <c r="E21" s="16"/>
      <c r="F21" s="17"/>
      <c r="G21" s="15"/>
      <c r="H21" s="16"/>
      <c r="I21" s="17"/>
      <c r="J21" s="12" t="str">
        <f aca="false">IF(H21="","",H21+Summary!$B$4)</f>
        <v/>
      </c>
      <c r="K21" s="17"/>
      <c r="L21" s="16"/>
      <c r="M21" s="13" t="str">
        <f aca="false">IF(I21="","",I21-N(K21))</f>
        <v/>
      </c>
      <c r="N21" s="14" t="str">
        <f aca="true">IF(A21="","",IF(I21="",IF(E21&lt;&gt;"","To invoice","In progress"),IF(M21&lt;=0,"Paid",IF(TODAY()&gt;J21,"Overdue","Awaiting payment"))))</f>
        <v/>
      </c>
    </row>
    <row r="22" customFormat="false" ht="15" hidden="false" customHeight="false" outlineLevel="0" collapsed="false">
      <c r="A22" s="15"/>
      <c r="B22" s="15"/>
      <c r="C22" s="15"/>
      <c r="D22" s="16"/>
      <c r="E22" s="16"/>
      <c r="F22" s="17"/>
      <c r="G22" s="15"/>
      <c r="H22" s="16"/>
      <c r="I22" s="17"/>
      <c r="J22" s="12" t="str">
        <f aca="false">IF(H22="","",H22+Summary!$B$4)</f>
        <v/>
      </c>
      <c r="K22" s="17"/>
      <c r="L22" s="16"/>
      <c r="M22" s="13" t="str">
        <f aca="false">IF(I22="","",I22-N(K22))</f>
        <v/>
      </c>
      <c r="N22" s="14" t="str">
        <f aca="true">IF(A22="","",IF(I22="",IF(E22&lt;&gt;"","To invoice","In progress"),IF(M22&lt;=0,"Paid",IF(TODAY()&gt;J22,"Overdue","Awaiting payment"))))</f>
        <v/>
      </c>
    </row>
    <row r="23" customFormat="false" ht="15" hidden="false" customHeight="false" outlineLevel="0" collapsed="false">
      <c r="A23" s="15"/>
      <c r="B23" s="15"/>
      <c r="C23" s="15"/>
      <c r="D23" s="16"/>
      <c r="E23" s="16"/>
      <c r="F23" s="17"/>
      <c r="G23" s="15"/>
      <c r="H23" s="16"/>
      <c r="I23" s="17"/>
      <c r="J23" s="12" t="str">
        <f aca="false">IF(H23="","",H23+Summary!$B$4)</f>
        <v/>
      </c>
      <c r="K23" s="17"/>
      <c r="L23" s="16"/>
      <c r="M23" s="13" t="str">
        <f aca="false">IF(I23="","",I23-N(K23))</f>
        <v/>
      </c>
      <c r="N23" s="14" t="str">
        <f aca="true">IF(A23="","",IF(I23="",IF(E23&lt;&gt;"","To invoice","In progress"),IF(M23&lt;=0,"Paid",IF(TODAY()&gt;J23,"Overdue","Awaiting payment"))))</f>
        <v/>
      </c>
    </row>
    <row r="24" customFormat="false" ht="15" hidden="false" customHeight="false" outlineLevel="0" collapsed="false">
      <c r="A24" s="15"/>
      <c r="B24" s="15"/>
      <c r="C24" s="15"/>
      <c r="D24" s="16"/>
      <c r="E24" s="16"/>
      <c r="F24" s="17"/>
      <c r="G24" s="15"/>
      <c r="H24" s="16"/>
      <c r="I24" s="17"/>
      <c r="J24" s="12" t="str">
        <f aca="false">IF(H24="","",H24+Summary!$B$4)</f>
        <v/>
      </c>
      <c r="K24" s="17"/>
      <c r="L24" s="16"/>
      <c r="M24" s="13" t="str">
        <f aca="false">IF(I24="","",I24-N(K24))</f>
        <v/>
      </c>
      <c r="N24" s="14" t="str">
        <f aca="true">IF(A24="","",IF(I24="",IF(E24&lt;&gt;"","To invoice","In progress"),IF(M24&lt;=0,"Paid",IF(TODAY()&gt;J24,"Overdue","Awaiting payment"))))</f>
        <v/>
      </c>
    </row>
    <row r="25" customFormat="false" ht="15" hidden="false" customHeight="false" outlineLevel="0" collapsed="false">
      <c r="A25" s="15"/>
      <c r="B25" s="15"/>
      <c r="C25" s="15"/>
      <c r="D25" s="16"/>
      <c r="E25" s="16"/>
      <c r="F25" s="17"/>
      <c r="G25" s="15"/>
      <c r="H25" s="16"/>
      <c r="I25" s="17"/>
      <c r="J25" s="12" t="str">
        <f aca="false">IF(H25="","",H25+Summary!$B$4)</f>
        <v/>
      </c>
      <c r="K25" s="17"/>
      <c r="L25" s="16"/>
      <c r="M25" s="13" t="str">
        <f aca="false">IF(I25="","",I25-N(K25))</f>
        <v/>
      </c>
      <c r="N25" s="14" t="str">
        <f aca="true">IF(A25="","",IF(I25="",IF(E25&lt;&gt;"","To invoice","In progress"),IF(M25&lt;=0,"Paid",IF(TODAY()&gt;J25,"Overdue","Awaiting payment"))))</f>
        <v/>
      </c>
    </row>
    <row r="26" customFormat="false" ht="15" hidden="false" customHeight="false" outlineLevel="0" collapsed="false">
      <c r="A26" s="15"/>
      <c r="B26" s="15"/>
      <c r="C26" s="15"/>
      <c r="D26" s="16"/>
      <c r="E26" s="16"/>
      <c r="F26" s="17"/>
      <c r="G26" s="15"/>
      <c r="H26" s="16"/>
      <c r="I26" s="17"/>
      <c r="J26" s="12" t="str">
        <f aca="false">IF(H26="","",H26+Summary!$B$4)</f>
        <v/>
      </c>
      <c r="K26" s="17"/>
      <c r="L26" s="16"/>
      <c r="M26" s="13" t="str">
        <f aca="false">IF(I26="","",I26-N(K26))</f>
        <v/>
      </c>
      <c r="N26" s="14" t="str">
        <f aca="true">IF(A26="","",IF(I26="",IF(E26&lt;&gt;"","To invoice","In progress"),IF(M26&lt;=0,"Paid",IF(TODAY()&gt;J26,"Overdue","Awaiting payment"))))</f>
        <v/>
      </c>
    </row>
    <row r="27" customFormat="false" ht="15" hidden="false" customHeight="false" outlineLevel="0" collapsed="false">
      <c r="A27" s="15"/>
      <c r="B27" s="15"/>
      <c r="C27" s="15"/>
      <c r="D27" s="16"/>
      <c r="E27" s="16"/>
      <c r="F27" s="17"/>
      <c r="G27" s="15"/>
      <c r="H27" s="16"/>
      <c r="I27" s="17"/>
      <c r="J27" s="12" t="str">
        <f aca="false">IF(H27="","",H27+Summary!$B$4)</f>
        <v/>
      </c>
      <c r="K27" s="17"/>
      <c r="L27" s="16"/>
      <c r="M27" s="13" t="str">
        <f aca="false">IF(I27="","",I27-N(K27))</f>
        <v/>
      </c>
      <c r="N27" s="14" t="str">
        <f aca="true">IF(A27="","",IF(I27="",IF(E27&lt;&gt;"","To invoice","In progress"),IF(M27&lt;=0,"Paid",IF(TODAY()&gt;J27,"Overdue","Awaiting payment"))))</f>
        <v/>
      </c>
    </row>
    <row r="28" customFormat="false" ht="15" hidden="false" customHeight="false" outlineLevel="0" collapsed="false">
      <c r="A28" s="15"/>
      <c r="B28" s="15"/>
      <c r="C28" s="15"/>
      <c r="D28" s="16"/>
      <c r="E28" s="16"/>
      <c r="F28" s="17"/>
      <c r="G28" s="15"/>
      <c r="H28" s="16"/>
      <c r="I28" s="17"/>
      <c r="J28" s="12" t="str">
        <f aca="false">IF(H28="","",H28+Summary!$B$4)</f>
        <v/>
      </c>
      <c r="K28" s="17"/>
      <c r="L28" s="16"/>
      <c r="M28" s="13" t="str">
        <f aca="false">IF(I28="","",I28-N(K28))</f>
        <v/>
      </c>
      <c r="N28" s="14" t="str">
        <f aca="true">IF(A28="","",IF(I28="",IF(E28&lt;&gt;"","To invoice","In progress"),IF(M28&lt;=0,"Paid",IF(TODAY()&gt;J28,"Overdue","Awaiting payment"))))</f>
        <v/>
      </c>
    </row>
    <row r="29" customFormat="false" ht="15" hidden="false" customHeight="false" outlineLevel="0" collapsed="false">
      <c r="A29" s="15"/>
      <c r="B29" s="15"/>
      <c r="C29" s="15"/>
      <c r="D29" s="16"/>
      <c r="E29" s="16"/>
      <c r="F29" s="17"/>
      <c r="G29" s="15"/>
      <c r="H29" s="16"/>
      <c r="I29" s="17"/>
      <c r="J29" s="12" t="str">
        <f aca="false">IF(H29="","",H29+Summary!$B$4)</f>
        <v/>
      </c>
      <c r="K29" s="17"/>
      <c r="L29" s="16"/>
      <c r="M29" s="13" t="str">
        <f aca="false">IF(I29="","",I29-N(K29))</f>
        <v/>
      </c>
      <c r="N29" s="14" t="str">
        <f aca="true">IF(A29="","",IF(I29="",IF(E29&lt;&gt;"","To invoice","In progress"),IF(M29&lt;=0,"Paid",IF(TODAY()&gt;J29,"Overdue","Awaiting payment"))))</f>
        <v/>
      </c>
    </row>
    <row r="30" customFormat="false" ht="15" hidden="false" customHeight="false" outlineLevel="0" collapsed="false">
      <c r="A30" s="15"/>
      <c r="B30" s="15"/>
      <c r="C30" s="15"/>
      <c r="D30" s="16"/>
      <c r="E30" s="16"/>
      <c r="F30" s="17"/>
      <c r="G30" s="15"/>
      <c r="H30" s="16"/>
      <c r="I30" s="17"/>
      <c r="J30" s="12" t="str">
        <f aca="false">IF(H30="","",H30+Summary!$B$4)</f>
        <v/>
      </c>
      <c r="K30" s="17"/>
      <c r="L30" s="16"/>
      <c r="M30" s="13" t="str">
        <f aca="false">IF(I30="","",I30-N(K30))</f>
        <v/>
      </c>
      <c r="N30" s="14" t="str">
        <f aca="true">IF(A30="","",IF(I30="",IF(E30&lt;&gt;"","To invoice","In progress"),IF(M30&lt;=0,"Paid",IF(TODAY()&gt;J30,"Overdue","Awaiting payment"))))</f>
        <v/>
      </c>
    </row>
    <row r="31" customFormat="false" ht="15" hidden="false" customHeight="false" outlineLevel="0" collapsed="false">
      <c r="A31" s="15"/>
      <c r="B31" s="15"/>
      <c r="C31" s="15"/>
      <c r="D31" s="16"/>
      <c r="E31" s="16"/>
      <c r="F31" s="17"/>
      <c r="G31" s="15"/>
      <c r="H31" s="16"/>
      <c r="I31" s="17"/>
      <c r="J31" s="12" t="str">
        <f aca="false">IF(H31="","",H31+Summary!$B$4)</f>
        <v/>
      </c>
      <c r="K31" s="17"/>
      <c r="L31" s="16"/>
      <c r="M31" s="13" t="str">
        <f aca="false">IF(I31="","",I31-N(K31))</f>
        <v/>
      </c>
      <c r="N31" s="14" t="str">
        <f aca="true">IF(A31="","",IF(I31="",IF(E31&lt;&gt;"","To invoice","In progress"),IF(M31&lt;=0,"Paid",IF(TODAY()&gt;J31,"Overdue","Awaiting payment"))))</f>
        <v/>
      </c>
    </row>
    <row r="32" customFormat="false" ht="15" hidden="false" customHeight="false" outlineLevel="0" collapsed="false">
      <c r="A32" s="15"/>
      <c r="B32" s="15"/>
      <c r="C32" s="15"/>
      <c r="D32" s="16"/>
      <c r="E32" s="16"/>
      <c r="F32" s="17"/>
      <c r="G32" s="15"/>
      <c r="H32" s="16"/>
      <c r="I32" s="17"/>
      <c r="J32" s="12" t="str">
        <f aca="false">IF(H32="","",H32+Summary!$B$4)</f>
        <v/>
      </c>
      <c r="K32" s="17"/>
      <c r="L32" s="16"/>
      <c r="M32" s="13" t="str">
        <f aca="false">IF(I32="","",I32-N(K32))</f>
        <v/>
      </c>
      <c r="N32" s="14" t="str">
        <f aca="true">IF(A32="","",IF(I32="",IF(E32&lt;&gt;"","To invoice","In progress"),IF(M32&lt;=0,"Paid",IF(TODAY()&gt;J32,"Overdue","Awaiting payment"))))</f>
        <v/>
      </c>
    </row>
    <row r="33" customFormat="false" ht="15" hidden="false" customHeight="false" outlineLevel="0" collapsed="false">
      <c r="A33" s="15"/>
      <c r="B33" s="15"/>
      <c r="C33" s="15"/>
      <c r="D33" s="16"/>
      <c r="E33" s="16"/>
      <c r="F33" s="17"/>
      <c r="G33" s="15"/>
      <c r="H33" s="16"/>
      <c r="I33" s="17"/>
      <c r="J33" s="12" t="str">
        <f aca="false">IF(H33="","",H33+Summary!$B$4)</f>
        <v/>
      </c>
      <c r="K33" s="17"/>
      <c r="L33" s="16"/>
      <c r="M33" s="13" t="str">
        <f aca="false">IF(I33="","",I33-N(K33))</f>
        <v/>
      </c>
      <c r="N33" s="14" t="str">
        <f aca="true">IF(A33="","",IF(I33="",IF(E33&lt;&gt;"","To invoice","In progress"),IF(M33&lt;=0,"Paid",IF(TODAY()&gt;J33,"Overdue","Awaiting payment"))))</f>
        <v/>
      </c>
    </row>
    <row r="34" customFormat="false" ht="15" hidden="false" customHeight="false" outlineLevel="0" collapsed="false">
      <c r="A34" s="15"/>
      <c r="B34" s="15"/>
      <c r="C34" s="15"/>
      <c r="D34" s="16"/>
      <c r="E34" s="16"/>
      <c r="F34" s="17"/>
      <c r="G34" s="15"/>
      <c r="H34" s="16"/>
      <c r="I34" s="17"/>
      <c r="J34" s="12" t="str">
        <f aca="false">IF(H34="","",H34+Summary!$B$4)</f>
        <v/>
      </c>
      <c r="K34" s="17"/>
      <c r="L34" s="16"/>
      <c r="M34" s="13" t="str">
        <f aca="false">IF(I34="","",I34-N(K34))</f>
        <v/>
      </c>
      <c r="N34" s="14" t="str">
        <f aca="true">IF(A34="","",IF(I34="",IF(E34&lt;&gt;"","To invoice","In progress"),IF(M34&lt;=0,"Paid",IF(TODAY()&gt;J34,"Overdue","Awaiting payment"))))</f>
        <v/>
      </c>
    </row>
    <row r="35" customFormat="false" ht="15" hidden="false" customHeight="false" outlineLevel="0" collapsed="false">
      <c r="A35" s="15"/>
      <c r="B35" s="15"/>
      <c r="C35" s="15"/>
      <c r="D35" s="16"/>
      <c r="E35" s="16"/>
      <c r="F35" s="17"/>
      <c r="G35" s="15"/>
      <c r="H35" s="16"/>
      <c r="I35" s="17"/>
      <c r="J35" s="12" t="str">
        <f aca="false">IF(H35="","",H35+Summary!$B$4)</f>
        <v/>
      </c>
      <c r="K35" s="17"/>
      <c r="L35" s="16"/>
      <c r="M35" s="13" t="str">
        <f aca="false">IF(I35="","",I35-N(K35))</f>
        <v/>
      </c>
      <c r="N35" s="14" t="str">
        <f aca="true">IF(A35="","",IF(I35="",IF(E35&lt;&gt;"","To invoice","In progress"),IF(M35&lt;=0,"Paid",IF(TODAY()&gt;J35,"Overdue","Awaiting payment"))))</f>
        <v/>
      </c>
    </row>
    <row r="36" customFormat="false" ht="15" hidden="false" customHeight="false" outlineLevel="0" collapsed="false">
      <c r="A36" s="15"/>
      <c r="B36" s="15"/>
      <c r="C36" s="15"/>
      <c r="D36" s="16"/>
      <c r="E36" s="16"/>
      <c r="F36" s="17"/>
      <c r="G36" s="15"/>
      <c r="H36" s="16"/>
      <c r="I36" s="17"/>
      <c r="J36" s="12" t="str">
        <f aca="false">IF(H36="","",H36+Summary!$B$4)</f>
        <v/>
      </c>
      <c r="K36" s="17"/>
      <c r="L36" s="16"/>
      <c r="M36" s="13" t="str">
        <f aca="false">IF(I36="","",I36-N(K36))</f>
        <v/>
      </c>
      <c r="N36" s="14" t="str">
        <f aca="true">IF(A36="","",IF(I36="",IF(E36&lt;&gt;"","To invoice","In progress"),IF(M36&lt;=0,"Paid",IF(TODAY()&gt;J36,"Overdue","Awaiting payment"))))</f>
        <v/>
      </c>
    </row>
    <row r="37" customFormat="false" ht="15" hidden="false" customHeight="false" outlineLevel="0" collapsed="false">
      <c r="A37" s="15"/>
      <c r="B37" s="15"/>
      <c r="C37" s="15"/>
      <c r="D37" s="16"/>
      <c r="E37" s="16"/>
      <c r="F37" s="17"/>
      <c r="G37" s="15"/>
      <c r="H37" s="16"/>
      <c r="I37" s="17"/>
      <c r="J37" s="12" t="str">
        <f aca="false">IF(H37="","",H37+Summary!$B$4)</f>
        <v/>
      </c>
      <c r="K37" s="17"/>
      <c r="L37" s="16"/>
      <c r="M37" s="13" t="str">
        <f aca="false">IF(I37="","",I37-N(K37))</f>
        <v/>
      </c>
      <c r="N37" s="14" t="str">
        <f aca="true">IF(A37="","",IF(I37="",IF(E37&lt;&gt;"","To invoice","In progress"),IF(M37&lt;=0,"Paid",IF(TODAY()&gt;J37,"Overdue","Awaiting payment"))))</f>
        <v/>
      </c>
    </row>
    <row r="38" customFormat="false" ht="15" hidden="false" customHeight="false" outlineLevel="0" collapsed="false">
      <c r="A38" s="15"/>
      <c r="B38" s="15"/>
      <c r="C38" s="15"/>
      <c r="D38" s="16"/>
      <c r="E38" s="16"/>
      <c r="F38" s="17"/>
      <c r="G38" s="15"/>
      <c r="H38" s="16"/>
      <c r="I38" s="17"/>
      <c r="J38" s="12" t="str">
        <f aca="false">IF(H38="","",H38+Summary!$B$4)</f>
        <v/>
      </c>
      <c r="K38" s="17"/>
      <c r="L38" s="16"/>
      <c r="M38" s="13" t="str">
        <f aca="false">IF(I38="","",I38-N(K38))</f>
        <v/>
      </c>
      <c r="N38" s="14" t="str">
        <f aca="true">IF(A38="","",IF(I38="",IF(E38&lt;&gt;"","To invoice","In progress"),IF(M38&lt;=0,"Paid",IF(TODAY()&gt;J38,"Overdue","Awaiting payment"))))</f>
        <v/>
      </c>
    </row>
    <row r="39" customFormat="false" ht="15" hidden="false" customHeight="false" outlineLevel="0" collapsed="false">
      <c r="A39" s="15"/>
      <c r="B39" s="15"/>
      <c r="C39" s="15"/>
      <c r="D39" s="16"/>
      <c r="E39" s="16"/>
      <c r="F39" s="17"/>
      <c r="G39" s="15"/>
      <c r="H39" s="16"/>
      <c r="I39" s="17"/>
      <c r="J39" s="12" t="str">
        <f aca="false">IF(H39="","",H39+Summary!$B$4)</f>
        <v/>
      </c>
      <c r="K39" s="17"/>
      <c r="L39" s="16"/>
      <c r="M39" s="13" t="str">
        <f aca="false">IF(I39="","",I39-N(K39))</f>
        <v/>
      </c>
      <c r="N39" s="14" t="str">
        <f aca="true">IF(A39="","",IF(I39="",IF(E39&lt;&gt;"","To invoice","In progress"),IF(M39&lt;=0,"Paid",IF(TODAY()&gt;J39,"Overdue","Awaiting payment"))))</f>
        <v/>
      </c>
    </row>
    <row r="40" customFormat="false" ht="15" hidden="false" customHeight="false" outlineLevel="0" collapsed="false">
      <c r="A40" s="15"/>
      <c r="B40" s="15"/>
      <c r="C40" s="15"/>
      <c r="D40" s="16"/>
      <c r="E40" s="16"/>
      <c r="F40" s="17"/>
      <c r="G40" s="15"/>
      <c r="H40" s="16"/>
      <c r="I40" s="17"/>
      <c r="J40" s="12" t="str">
        <f aca="false">IF(H40="","",H40+Summary!$B$4)</f>
        <v/>
      </c>
      <c r="K40" s="17"/>
      <c r="L40" s="16"/>
      <c r="M40" s="13" t="str">
        <f aca="false">IF(I40="","",I40-N(K40))</f>
        <v/>
      </c>
      <c r="N40" s="14" t="str">
        <f aca="true">IF(A40="","",IF(I40="",IF(E40&lt;&gt;"","To invoice","In progress"),IF(M40&lt;=0,"Paid",IF(TODAY()&gt;J40,"Overdue","Awaiting payment"))))</f>
        <v/>
      </c>
    </row>
    <row r="41" customFormat="false" ht="15" hidden="false" customHeight="false" outlineLevel="0" collapsed="false">
      <c r="A41" s="15"/>
      <c r="B41" s="15"/>
      <c r="C41" s="15"/>
      <c r="D41" s="16"/>
      <c r="E41" s="16"/>
      <c r="F41" s="17"/>
      <c r="G41" s="15"/>
      <c r="H41" s="16"/>
      <c r="I41" s="17"/>
      <c r="J41" s="12" t="str">
        <f aca="false">IF(H41="","",H41+Summary!$B$4)</f>
        <v/>
      </c>
      <c r="K41" s="17"/>
      <c r="L41" s="16"/>
      <c r="M41" s="13" t="str">
        <f aca="false">IF(I41="","",I41-N(K41))</f>
        <v/>
      </c>
      <c r="N41" s="14" t="str">
        <f aca="true">IF(A41="","",IF(I41="",IF(E41&lt;&gt;"","To invoice","In progress"),IF(M41&lt;=0,"Paid",IF(TODAY()&gt;J41,"Overdue","Awaiting payment"))))</f>
        <v/>
      </c>
    </row>
    <row r="42" customFormat="false" ht="15" hidden="false" customHeight="false" outlineLevel="0" collapsed="false">
      <c r="A42" s="15"/>
      <c r="B42" s="15"/>
      <c r="C42" s="15"/>
      <c r="D42" s="16"/>
      <c r="E42" s="16"/>
      <c r="F42" s="17"/>
      <c r="G42" s="15"/>
      <c r="H42" s="16"/>
      <c r="I42" s="17"/>
      <c r="J42" s="12" t="str">
        <f aca="false">IF(H42="","",H42+Summary!$B$4)</f>
        <v/>
      </c>
      <c r="K42" s="17"/>
      <c r="L42" s="16"/>
      <c r="M42" s="13" t="str">
        <f aca="false">IF(I42="","",I42-N(K42))</f>
        <v/>
      </c>
      <c r="N42" s="14" t="str">
        <f aca="true">IF(A42="","",IF(I42="",IF(E42&lt;&gt;"","To invoice","In progress"),IF(M42&lt;=0,"Paid",IF(TODAY()&gt;J42,"Overdue","Awaiting payment"))))</f>
        <v/>
      </c>
    </row>
    <row r="43" customFormat="false" ht="15" hidden="false" customHeight="false" outlineLevel="0" collapsed="false">
      <c r="A43" s="15"/>
      <c r="B43" s="15"/>
      <c r="C43" s="15"/>
      <c r="D43" s="16"/>
      <c r="E43" s="16"/>
      <c r="F43" s="17"/>
      <c r="G43" s="15"/>
      <c r="H43" s="16"/>
      <c r="I43" s="17"/>
      <c r="J43" s="12" t="str">
        <f aca="false">IF(H43="","",H43+Summary!$B$4)</f>
        <v/>
      </c>
      <c r="K43" s="17"/>
      <c r="L43" s="16"/>
      <c r="M43" s="13" t="str">
        <f aca="false">IF(I43="","",I43-N(K43))</f>
        <v/>
      </c>
      <c r="N43" s="14" t="str">
        <f aca="true">IF(A43="","",IF(I43="",IF(E43&lt;&gt;"","To invoice","In progress"),IF(M43&lt;=0,"Paid",IF(TODAY()&gt;J43,"Overdue","Awaiting payment"))))</f>
        <v/>
      </c>
    </row>
    <row r="44" customFormat="false" ht="15" hidden="false" customHeight="false" outlineLevel="0" collapsed="false">
      <c r="A44" s="15"/>
      <c r="B44" s="15"/>
      <c r="C44" s="15"/>
      <c r="D44" s="16"/>
      <c r="E44" s="16"/>
      <c r="F44" s="17"/>
      <c r="G44" s="15"/>
      <c r="H44" s="16"/>
      <c r="I44" s="17"/>
      <c r="J44" s="12" t="str">
        <f aca="false">IF(H44="","",H44+Summary!$B$4)</f>
        <v/>
      </c>
      <c r="K44" s="17"/>
      <c r="L44" s="16"/>
      <c r="M44" s="13" t="str">
        <f aca="false">IF(I44="","",I44-N(K44))</f>
        <v/>
      </c>
      <c r="N44" s="14" t="str">
        <f aca="true">IF(A44="","",IF(I44="",IF(E44&lt;&gt;"","To invoice","In progress"),IF(M44&lt;=0,"Paid",IF(TODAY()&gt;J44,"Overdue","Awaiting payment"))))</f>
        <v/>
      </c>
    </row>
    <row r="45" customFormat="false" ht="15" hidden="false" customHeight="false" outlineLevel="0" collapsed="false">
      <c r="A45" s="15"/>
      <c r="B45" s="15"/>
      <c r="C45" s="15"/>
      <c r="D45" s="16"/>
      <c r="E45" s="16"/>
      <c r="F45" s="17"/>
      <c r="G45" s="15"/>
      <c r="H45" s="16"/>
      <c r="I45" s="17"/>
      <c r="J45" s="12" t="str">
        <f aca="false">IF(H45="","",H45+Summary!$B$4)</f>
        <v/>
      </c>
      <c r="K45" s="17"/>
      <c r="L45" s="16"/>
      <c r="M45" s="13" t="str">
        <f aca="false">IF(I45="","",I45-N(K45))</f>
        <v/>
      </c>
      <c r="N45" s="14" t="str">
        <f aca="true">IF(A45="","",IF(I45="",IF(E45&lt;&gt;"","To invoice","In progress"),IF(M45&lt;=0,"Paid",IF(TODAY()&gt;J45,"Overdue","Awaiting payment"))))</f>
        <v/>
      </c>
    </row>
    <row r="46" customFormat="false" ht="15" hidden="false" customHeight="false" outlineLevel="0" collapsed="false">
      <c r="A46" s="15"/>
      <c r="B46" s="15"/>
      <c r="C46" s="15"/>
      <c r="D46" s="16"/>
      <c r="E46" s="16"/>
      <c r="F46" s="17"/>
      <c r="G46" s="15"/>
      <c r="H46" s="16"/>
      <c r="I46" s="17"/>
      <c r="J46" s="12" t="str">
        <f aca="false">IF(H46="","",H46+Summary!$B$4)</f>
        <v/>
      </c>
      <c r="K46" s="17"/>
      <c r="L46" s="16"/>
      <c r="M46" s="13" t="str">
        <f aca="false">IF(I46="","",I46-N(K46))</f>
        <v/>
      </c>
      <c r="N46" s="14" t="str">
        <f aca="true">IF(A46="","",IF(I46="",IF(E46&lt;&gt;"","To invoice","In progress"),IF(M46&lt;=0,"Paid",IF(TODAY()&gt;J46,"Overdue","Awaiting payment"))))</f>
        <v/>
      </c>
    </row>
    <row r="47" customFormat="false" ht="15" hidden="false" customHeight="false" outlineLevel="0" collapsed="false">
      <c r="A47" s="15"/>
      <c r="B47" s="15"/>
      <c r="C47" s="15"/>
      <c r="D47" s="16"/>
      <c r="E47" s="16"/>
      <c r="F47" s="17"/>
      <c r="G47" s="15"/>
      <c r="H47" s="16"/>
      <c r="I47" s="17"/>
      <c r="J47" s="12" t="str">
        <f aca="false">IF(H47="","",H47+Summary!$B$4)</f>
        <v/>
      </c>
      <c r="K47" s="17"/>
      <c r="L47" s="16"/>
      <c r="M47" s="13" t="str">
        <f aca="false">IF(I47="","",I47-N(K47))</f>
        <v/>
      </c>
      <c r="N47" s="14" t="str">
        <f aca="true">IF(A47="","",IF(I47="",IF(E47&lt;&gt;"","To invoice","In progress"),IF(M47&lt;=0,"Paid",IF(TODAY()&gt;J47,"Overdue","Awaiting payment"))))</f>
        <v/>
      </c>
    </row>
    <row r="48" customFormat="false" ht="15" hidden="false" customHeight="false" outlineLevel="0" collapsed="false">
      <c r="A48" s="15"/>
      <c r="B48" s="15"/>
      <c r="C48" s="15"/>
      <c r="D48" s="16"/>
      <c r="E48" s="16"/>
      <c r="F48" s="17"/>
      <c r="G48" s="15"/>
      <c r="H48" s="16"/>
      <c r="I48" s="17"/>
      <c r="J48" s="12" t="str">
        <f aca="false">IF(H48="","",H48+Summary!$B$4)</f>
        <v/>
      </c>
      <c r="K48" s="17"/>
      <c r="L48" s="16"/>
      <c r="M48" s="13" t="str">
        <f aca="false">IF(I48="","",I48-N(K48))</f>
        <v/>
      </c>
      <c r="N48" s="14" t="str">
        <f aca="true">IF(A48="","",IF(I48="",IF(E48&lt;&gt;"","To invoice","In progress"),IF(M48&lt;=0,"Paid",IF(TODAY()&gt;J48,"Overdue","Awaiting payment"))))</f>
        <v/>
      </c>
    </row>
    <row r="49" customFormat="false" ht="15" hidden="false" customHeight="false" outlineLevel="0" collapsed="false">
      <c r="A49" s="15"/>
      <c r="B49" s="15"/>
      <c r="C49" s="15"/>
      <c r="D49" s="16"/>
      <c r="E49" s="16"/>
      <c r="F49" s="17"/>
      <c r="G49" s="15"/>
      <c r="H49" s="16"/>
      <c r="I49" s="17"/>
      <c r="J49" s="12" t="str">
        <f aca="false">IF(H49="","",H49+Summary!$B$4)</f>
        <v/>
      </c>
      <c r="K49" s="17"/>
      <c r="L49" s="16"/>
      <c r="M49" s="13" t="str">
        <f aca="false">IF(I49="","",I49-N(K49))</f>
        <v/>
      </c>
      <c r="N49" s="14" t="str">
        <f aca="true">IF(A49="","",IF(I49="",IF(E49&lt;&gt;"","To invoice","In progress"),IF(M49&lt;=0,"Paid",IF(TODAY()&gt;J49,"Overdue","Awaiting payment"))))</f>
        <v/>
      </c>
    </row>
    <row r="50" customFormat="false" ht="15" hidden="false" customHeight="false" outlineLevel="0" collapsed="false">
      <c r="A50" s="15"/>
      <c r="B50" s="15"/>
      <c r="C50" s="15"/>
      <c r="D50" s="16"/>
      <c r="E50" s="16"/>
      <c r="F50" s="17"/>
      <c r="G50" s="15"/>
      <c r="H50" s="16"/>
      <c r="I50" s="17"/>
      <c r="J50" s="12" t="str">
        <f aca="false">IF(H50="","",H50+Summary!$B$4)</f>
        <v/>
      </c>
      <c r="K50" s="17"/>
      <c r="L50" s="16"/>
      <c r="M50" s="13" t="str">
        <f aca="false">IF(I50="","",I50-N(K50))</f>
        <v/>
      </c>
      <c r="N50" s="14" t="str">
        <f aca="true">IF(A50="","",IF(I50="",IF(E50&lt;&gt;"","To invoice","In progress"),IF(M50&lt;=0,"Paid",IF(TODAY()&gt;J50,"Overdue","Awaiting payment"))))</f>
        <v/>
      </c>
    </row>
    <row r="51" customFormat="false" ht="15" hidden="false" customHeight="false" outlineLevel="0" collapsed="false">
      <c r="A51" s="15"/>
      <c r="B51" s="15"/>
      <c r="C51" s="15"/>
      <c r="D51" s="16"/>
      <c r="E51" s="16"/>
      <c r="F51" s="17"/>
      <c r="G51" s="15"/>
      <c r="H51" s="16"/>
      <c r="I51" s="17"/>
      <c r="J51" s="12" t="str">
        <f aca="false">IF(H51="","",H51+Summary!$B$4)</f>
        <v/>
      </c>
      <c r="K51" s="17"/>
      <c r="L51" s="16"/>
      <c r="M51" s="13" t="str">
        <f aca="false">IF(I51="","",I51-N(K51))</f>
        <v/>
      </c>
      <c r="N51" s="14" t="str">
        <f aca="true">IF(A51="","",IF(I51="",IF(E51&lt;&gt;"","To invoice","In progress"),IF(M51&lt;=0,"Paid",IF(TODAY()&gt;J51,"Overdue","Awaiting payment"))))</f>
        <v/>
      </c>
    </row>
    <row r="52" customFormat="false" ht="15" hidden="false" customHeight="false" outlineLevel="0" collapsed="false">
      <c r="A52" s="15"/>
      <c r="B52" s="15"/>
      <c r="C52" s="15"/>
      <c r="D52" s="16"/>
      <c r="E52" s="16"/>
      <c r="F52" s="17"/>
      <c r="G52" s="15"/>
      <c r="H52" s="16"/>
      <c r="I52" s="17"/>
      <c r="J52" s="12" t="str">
        <f aca="false">IF(H52="","",H52+Summary!$B$4)</f>
        <v/>
      </c>
      <c r="K52" s="17"/>
      <c r="L52" s="16"/>
      <c r="M52" s="13" t="str">
        <f aca="false">IF(I52="","",I52-N(K52))</f>
        <v/>
      </c>
      <c r="N52" s="14" t="str">
        <f aca="true">IF(A52="","",IF(I52="",IF(E52&lt;&gt;"","To invoice","In progress"),IF(M52&lt;=0,"Paid",IF(TODAY()&gt;J52,"Overdue","Awaiting payment"))))</f>
        <v/>
      </c>
    </row>
    <row r="53" customFormat="false" ht="15" hidden="false" customHeight="false" outlineLevel="0" collapsed="false">
      <c r="A53" s="15"/>
      <c r="B53" s="15"/>
      <c r="C53" s="15"/>
      <c r="D53" s="16"/>
      <c r="E53" s="16"/>
      <c r="F53" s="17"/>
      <c r="G53" s="15"/>
      <c r="H53" s="16"/>
      <c r="I53" s="17"/>
      <c r="J53" s="12" t="str">
        <f aca="false">IF(H53="","",H53+Summary!$B$4)</f>
        <v/>
      </c>
      <c r="K53" s="17"/>
      <c r="L53" s="16"/>
      <c r="M53" s="13" t="str">
        <f aca="false">IF(I53="","",I53-N(K53))</f>
        <v/>
      </c>
      <c r="N53" s="14" t="str">
        <f aca="true">IF(A53="","",IF(I53="",IF(E53&lt;&gt;"","To invoice","In progress"),IF(M53&lt;=0,"Paid",IF(TODAY()&gt;J53,"Overdue","Awaiting payment"))))</f>
        <v/>
      </c>
    </row>
    <row r="54" customFormat="false" ht="15" hidden="false" customHeight="false" outlineLevel="0" collapsed="false">
      <c r="A54" s="15"/>
      <c r="B54" s="15"/>
      <c r="C54" s="15"/>
      <c r="D54" s="16"/>
      <c r="E54" s="16"/>
      <c r="F54" s="17"/>
      <c r="G54" s="15"/>
      <c r="H54" s="16"/>
      <c r="I54" s="17"/>
      <c r="J54" s="12" t="str">
        <f aca="false">IF(H54="","",H54+Summary!$B$4)</f>
        <v/>
      </c>
      <c r="K54" s="17"/>
      <c r="L54" s="16"/>
      <c r="M54" s="13" t="str">
        <f aca="false">IF(I54="","",I54-N(K54))</f>
        <v/>
      </c>
      <c r="N54" s="14" t="str">
        <f aca="true">IF(A54="","",IF(I54="",IF(E54&lt;&gt;"","To invoice","In progress"),IF(M54&lt;=0,"Paid",IF(TODAY()&gt;J54,"Overdue","Awaiting payment"))))</f>
        <v/>
      </c>
    </row>
    <row r="55" customFormat="false" ht="15" hidden="false" customHeight="false" outlineLevel="0" collapsed="false">
      <c r="A55" s="15"/>
      <c r="B55" s="15"/>
      <c r="C55" s="15"/>
      <c r="D55" s="16"/>
      <c r="E55" s="16"/>
      <c r="F55" s="17"/>
      <c r="G55" s="15"/>
      <c r="H55" s="16"/>
      <c r="I55" s="17"/>
      <c r="J55" s="12" t="str">
        <f aca="false">IF(H55="","",H55+Summary!$B$4)</f>
        <v/>
      </c>
      <c r="K55" s="17"/>
      <c r="L55" s="16"/>
      <c r="M55" s="13" t="str">
        <f aca="false">IF(I55="","",I55-N(K55))</f>
        <v/>
      </c>
      <c r="N55" s="14" t="str">
        <f aca="true">IF(A55="","",IF(I55="",IF(E55&lt;&gt;"","To invoice","In progress"),IF(M55&lt;=0,"Paid",IF(TODAY()&gt;J55,"Overdue","Awaiting payment"))))</f>
        <v/>
      </c>
    </row>
    <row r="56" customFormat="false" ht="15" hidden="false" customHeight="false" outlineLevel="0" collapsed="false">
      <c r="A56" s="15"/>
      <c r="B56" s="15"/>
      <c r="C56" s="15"/>
      <c r="D56" s="16"/>
      <c r="E56" s="16"/>
      <c r="F56" s="17"/>
      <c r="G56" s="15"/>
      <c r="H56" s="16"/>
      <c r="I56" s="17"/>
      <c r="J56" s="12" t="str">
        <f aca="false">IF(H56="","",H56+Summary!$B$4)</f>
        <v/>
      </c>
      <c r="K56" s="17"/>
      <c r="L56" s="16"/>
      <c r="M56" s="13" t="str">
        <f aca="false">IF(I56="","",I56-N(K56))</f>
        <v/>
      </c>
      <c r="N56" s="14" t="str">
        <f aca="true">IF(A56="","",IF(I56="",IF(E56&lt;&gt;"","To invoice","In progress"),IF(M56&lt;=0,"Paid",IF(TODAY()&gt;J56,"Overdue","Awaiting payment"))))</f>
        <v/>
      </c>
    </row>
    <row r="57" customFormat="false" ht="15" hidden="false" customHeight="false" outlineLevel="0" collapsed="false">
      <c r="A57" s="15"/>
      <c r="B57" s="15"/>
      <c r="C57" s="15"/>
      <c r="D57" s="16"/>
      <c r="E57" s="16"/>
      <c r="F57" s="17"/>
      <c r="G57" s="15"/>
      <c r="H57" s="16"/>
      <c r="I57" s="17"/>
      <c r="J57" s="12" t="str">
        <f aca="false">IF(H57="","",H57+Summary!$B$4)</f>
        <v/>
      </c>
      <c r="K57" s="17"/>
      <c r="L57" s="16"/>
      <c r="M57" s="13" t="str">
        <f aca="false">IF(I57="","",I57-N(K57))</f>
        <v/>
      </c>
      <c r="N57" s="14" t="str">
        <f aca="true">IF(A57="","",IF(I57="",IF(E57&lt;&gt;"","To invoice","In progress"),IF(M57&lt;=0,"Paid",IF(TODAY()&gt;J57,"Overdue","Awaiting payment"))))</f>
        <v/>
      </c>
    </row>
    <row r="58" customFormat="false" ht="15" hidden="false" customHeight="false" outlineLevel="0" collapsed="false">
      <c r="A58" s="15"/>
      <c r="B58" s="15"/>
      <c r="C58" s="15"/>
      <c r="D58" s="16"/>
      <c r="E58" s="16"/>
      <c r="F58" s="17"/>
      <c r="G58" s="15"/>
      <c r="H58" s="16"/>
      <c r="I58" s="17"/>
      <c r="J58" s="12" t="str">
        <f aca="false">IF(H58="","",H58+Summary!$B$4)</f>
        <v/>
      </c>
      <c r="K58" s="17"/>
      <c r="L58" s="16"/>
      <c r="M58" s="13" t="str">
        <f aca="false">IF(I58="","",I58-N(K58))</f>
        <v/>
      </c>
      <c r="N58" s="14" t="str">
        <f aca="true">IF(A58="","",IF(I58="",IF(E58&lt;&gt;"","To invoice","In progress"),IF(M58&lt;=0,"Paid",IF(TODAY()&gt;J58,"Overdue","Awaiting payment"))))</f>
        <v/>
      </c>
    </row>
    <row r="59" customFormat="false" ht="15" hidden="false" customHeight="false" outlineLevel="0" collapsed="false">
      <c r="A59" s="15"/>
      <c r="B59" s="15"/>
      <c r="C59" s="15"/>
      <c r="D59" s="16"/>
      <c r="E59" s="16"/>
      <c r="F59" s="17"/>
      <c r="G59" s="15"/>
      <c r="H59" s="16"/>
      <c r="I59" s="17"/>
      <c r="J59" s="12" t="str">
        <f aca="false">IF(H59="","",H59+Summary!$B$4)</f>
        <v/>
      </c>
      <c r="K59" s="17"/>
      <c r="L59" s="16"/>
      <c r="M59" s="13" t="str">
        <f aca="false">IF(I59="","",I59-N(K59))</f>
        <v/>
      </c>
      <c r="N59" s="14" t="str">
        <f aca="true">IF(A59="","",IF(I59="",IF(E59&lt;&gt;"","To invoice","In progress"),IF(M59&lt;=0,"Paid",IF(TODAY()&gt;J59,"Overdue","Awaiting payment"))))</f>
        <v/>
      </c>
    </row>
    <row r="60" customFormat="false" ht="15" hidden="false" customHeight="false" outlineLevel="0" collapsed="false">
      <c r="A60" s="15"/>
      <c r="B60" s="15"/>
      <c r="C60" s="15"/>
      <c r="D60" s="16"/>
      <c r="E60" s="16"/>
      <c r="F60" s="17"/>
      <c r="G60" s="15"/>
      <c r="H60" s="16"/>
      <c r="I60" s="17"/>
      <c r="J60" s="12" t="str">
        <f aca="false">IF(H60="","",H60+Summary!$B$4)</f>
        <v/>
      </c>
      <c r="K60" s="17"/>
      <c r="L60" s="16"/>
      <c r="M60" s="13" t="str">
        <f aca="false">IF(I60="","",I60-N(K60))</f>
        <v/>
      </c>
      <c r="N60" s="14" t="str">
        <f aca="true">IF(A60="","",IF(I60="",IF(E60&lt;&gt;"","To invoice","In progress"),IF(M60&lt;=0,"Paid",IF(TODAY()&gt;J60,"Overdue","Awaiting payment"))))</f>
        <v/>
      </c>
    </row>
    <row r="61" customFormat="false" ht="15" hidden="false" customHeight="false" outlineLevel="0" collapsed="false">
      <c r="A61" s="15"/>
      <c r="B61" s="15"/>
      <c r="C61" s="15"/>
      <c r="D61" s="16"/>
      <c r="E61" s="16"/>
      <c r="F61" s="17"/>
      <c r="G61" s="15"/>
      <c r="H61" s="16"/>
      <c r="I61" s="17"/>
      <c r="J61" s="12" t="str">
        <f aca="false">IF(H61="","",H61+Summary!$B$4)</f>
        <v/>
      </c>
      <c r="K61" s="17"/>
      <c r="L61" s="16"/>
      <c r="M61" s="13" t="str">
        <f aca="false">IF(I61="","",I61-N(K61))</f>
        <v/>
      </c>
      <c r="N61" s="14" t="str">
        <f aca="true">IF(A61="","",IF(I61="",IF(E61&lt;&gt;"","To invoice","In progress"),IF(M61&lt;=0,"Paid",IF(TODAY()&gt;J61,"Overdue","Awaiting payment"))))</f>
        <v/>
      </c>
    </row>
    <row r="62" customFormat="false" ht="15" hidden="false" customHeight="false" outlineLevel="0" collapsed="false">
      <c r="A62" s="15"/>
      <c r="B62" s="15"/>
      <c r="C62" s="15"/>
      <c r="D62" s="16"/>
      <c r="E62" s="16"/>
      <c r="F62" s="17"/>
      <c r="G62" s="15"/>
      <c r="H62" s="16"/>
      <c r="I62" s="17"/>
      <c r="J62" s="12" t="str">
        <f aca="false">IF(H62="","",H62+Summary!$B$4)</f>
        <v/>
      </c>
      <c r="K62" s="17"/>
      <c r="L62" s="16"/>
      <c r="M62" s="13" t="str">
        <f aca="false">IF(I62="","",I62-N(K62))</f>
        <v/>
      </c>
      <c r="N62" s="14" t="str">
        <f aca="true">IF(A62="","",IF(I62="",IF(E62&lt;&gt;"","To invoice","In progress"),IF(M62&lt;=0,"Paid",IF(TODAY()&gt;J62,"Overdue","Awaiting payment"))))</f>
        <v/>
      </c>
    </row>
    <row r="63" customFormat="false" ht="15" hidden="false" customHeight="false" outlineLevel="0" collapsed="false">
      <c r="A63" s="15"/>
      <c r="B63" s="15"/>
      <c r="C63" s="15"/>
      <c r="D63" s="16"/>
      <c r="E63" s="16"/>
      <c r="F63" s="17"/>
      <c r="G63" s="15"/>
      <c r="H63" s="16"/>
      <c r="I63" s="17"/>
      <c r="J63" s="12" t="str">
        <f aca="false">IF(H63="","",H63+Summary!$B$4)</f>
        <v/>
      </c>
      <c r="K63" s="17"/>
      <c r="L63" s="16"/>
      <c r="M63" s="13" t="str">
        <f aca="false">IF(I63="","",I63-N(K63))</f>
        <v/>
      </c>
      <c r="N63" s="14" t="str">
        <f aca="true">IF(A63="","",IF(I63="",IF(E63&lt;&gt;"","To invoice","In progress"),IF(M63&lt;=0,"Paid",IF(TODAY()&gt;J63,"Overdue","Awaiting payment"))))</f>
        <v/>
      </c>
    </row>
    <row r="64" customFormat="false" ht="15" hidden="false" customHeight="false" outlineLevel="0" collapsed="false">
      <c r="A64" s="15"/>
      <c r="B64" s="15"/>
      <c r="C64" s="15"/>
      <c r="D64" s="16"/>
      <c r="E64" s="16"/>
      <c r="F64" s="17"/>
      <c r="G64" s="15"/>
      <c r="H64" s="16"/>
      <c r="I64" s="17"/>
      <c r="J64" s="12" t="str">
        <f aca="false">IF(H64="","",H64+Summary!$B$4)</f>
        <v/>
      </c>
      <c r="K64" s="17"/>
      <c r="L64" s="16"/>
      <c r="M64" s="13" t="str">
        <f aca="false">IF(I64="","",I64-N(K64))</f>
        <v/>
      </c>
      <c r="N64" s="14" t="str">
        <f aca="true">IF(A64="","",IF(I64="",IF(E64&lt;&gt;"","To invoice","In progress"),IF(M64&lt;=0,"Paid",IF(TODAY()&gt;J64,"Overdue","Awaiting payment"))))</f>
        <v/>
      </c>
    </row>
    <row r="65" customFormat="false" ht="15" hidden="false" customHeight="false" outlineLevel="0" collapsed="false">
      <c r="A65" s="15"/>
      <c r="B65" s="15"/>
      <c r="C65" s="15"/>
      <c r="D65" s="16"/>
      <c r="E65" s="16"/>
      <c r="F65" s="17"/>
      <c r="G65" s="15"/>
      <c r="H65" s="16"/>
      <c r="I65" s="17"/>
      <c r="J65" s="12" t="str">
        <f aca="false">IF(H65="","",H65+Summary!$B$4)</f>
        <v/>
      </c>
      <c r="K65" s="17"/>
      <c r="L65" s="16"/>
      <c r="M65" s="13" t="str">
        <f aca="false">IF(I65="","",I65-N(K65))</f>
        <v/>
      </c>
      <c r="N65" s="14" t="str">
        <f aca="true">IF(A65="","",IF(I65="",IF(E65&lt;&gt;"","To invoice","In progress"),IF(M65&lt;=0,"Paid",IF(TODAY()&gt;J65,"Overdue","Awaiting payment"))))</f>
        <v/>
      </c>
    </row>
    <row r="66" customFormat="false" ht="15" hidden="false" customHeight="false" outlineLevel="0" collapsed="false">
      <c r="A66" s="15"/>
      <c r="B66" s="15"/>
      <c r="C66" s="15"/>
      <c r="D66" s="16"/>
      <c r="E66" s="16"/>
      <c r="F66" s="17"/>
      <c r="G66" s="15"/>
      <c r="H66" s="16"/>
      <c r="I66" s="17"/>
      <c r="J66" s="12" t="str">
        <f aca="false">IF(H66="","",H66+Summary!$B$4)</f>
        <v/>
      </c>
      <c r="K66" s="17"/>
      <c r="L66" s="16"/>
      <c r="M66" s="13" t="str">
        <f aca="false">IF(I66="","",I66-N(K66))</f>
        <v/>
      </c>
      <c r="N66" s="14" t="str">
        <f aca="true">IF(A66="","",IF(I66="",IF(E66&lt;&gt;"","To invoice","In progress"),IF(M66&lt;=0,"Paid",IF(TODAY()&gt;J66,"Overdue","Awaiting payment"))))</f>
        <v/>
      </c>
    </row>
    <row r="67" customFormat="false" ht="15" hidden="false" customHeight="false" outlineLevel="0" collapsed="false">
      <c r="A67" s="15"/>
      <c r="B67" s="15"/>
      <c r="C67" s="15"/>
      <c r="D67" s="16"/>
      <c r="E67" s="16"/>
      <c r="F67" s="17"/>
      <c r="G67" s="15"/>
      <c r="H67" s="16"/>
      <c r="I67" s="17"/>
      <c r="J67" s="12" t="str">
        <f aca="false">IF(H67="","",H67+Summary!$B$4)</f>
        <v/>
      </c>
      <c r="K67" s="17"/>
      <c r="L67" s="16"/>
      <c r="M67" s="13" t="str">
        <f aca="false">IF(I67="","",I67-N(K67))</f>
        <v/>
      </c>
      <c r="N67" s="14" t="str">
        <f aca="true">IF(A67="","",IF(I67="",IF(E67&lt;&gt;"","To invoice","In progress"),IF(M67&lt;=0,"Paid",IF(TODAY()&gt;J67,"Overdue","Awaiting payment"))))</f>
        <v/>
      </c>
    </row>
    <row r="68" customFormat="false" ht="15" hidden="false" customHeight="false" outlineLevel="0" collapsed="false">
      <c r="A68" s="15"/>
      <c r="B68" s="15"/>
      <c r="C68" s="15"/>
      <c r="D68" s="16"/>
      <c r="E68" s="16"/>
      <c r="F68" s="17"/>
      <c r="G68" s="15"/>
      <c r="H68" s="16"/>
      <c r="I68" s="17"/>
      <c r="J68" s="12" t="str">
        <f aca="false">IF(H68="","",H68+Summary!$B$4)</f>
        <v/>
      </c>
      <c r="K68" s="17"/>
      <c r="L68" s="16"/>
      <c r="M68" s="13" t="str">
        <f aca="false">IF(I68="","",I68-N(K68))</f>
        <v/>
      </c>
      <c r="N68" s="14" t="str">
        <f aca="true">IF(A68="","",IF(I68="",IF(E68&lt;&gt;"","To invoice","In progress"),IF(M68&lt;=0,"Paid",IF(TODAY()&gt;J68,"Overdue","Awaiting payment"))))</f>
        <v/>
      </c>
    </row>
    <row r="69" customFormat="false" ht="15" hidden="false" customHeight="false" outlineLevel="0" collapsed="false">
      <c r="A69" s="15"/>
      <c r="B69" s="15"/>
      <c r="C69" s="15"/>
      <c r="D69" s="16"/>
      <c r="E69" s="16"/>
      <c r="F69" s="17"/>
      <c r="G69" s="15"/>
      <c r="H69" s="16"/>
      <c r="I69" s="17"/>
      <c r="J69" s="12" t="str">
        <f aca="false">IF(H69="","",H69+Summary!$B$4)</f>
        <v/>
      </c>
      <c r="K69" s="17"/>
      <c r="L69" s="16"/>
      <c r="M69" s="13" t="str">
        <f aca="false">IF(I69="","",I69-N(K69))</f>
        <v/>
      </c>
      <c r="N69" s="14" t="str">
        <f aca="true">IF(A69="","",IF(I69="",IF(E69&lt;&gt;"","To invoice","In progress"),IF(M69&lt;=0,"Paid",IF(TODAY()&gt;J69,"Overdue","Awaiting payment"))))</f>
        <v/>
      </c>
    </row>
    <row r="70" customFormat="false" ht="15" hidden="false" customHeight="false" outlineLevel="0" collapsed="false">
      <c r="A70" s="15"/>
      <c r="B70" s="15"/>
      <c r="C70" s="15"/>
      <c r="D70" s="16"/>
      <c r="E70" s="16"/>
      <c r="F70" s="17"/>
      <c r="G70" s="15"/>
      <c r="H70" s="16"/>
      <c r="I70" s="17"/>
      <c r="J70" s="12" t="str">
        <f aca="false">IF(H70="","",H70+Summary!$B$4)</f>
        <v/>
      </c>
      <c r="K70" s="17"/>
      <c r="L70" s="16"/>
      <c r="M70" s="13" t="str">
        <f aca="false">IF(I70="","",I70-N(K70))</f>
        <v/>
      </c>
      <c r="N70" s="14" t="str">
        <f aca="true">IF(A70="","",IF(I70="",IF(E70&lt;&gt;"","To invoice","In progress"),IF(M70&lt;=0,"Paid",IF(TODAY()&gt;J70,"Overdue","Awaiting payment"))))</f>
        <v/>
      </c>
    </row>
    <row r="71" customFormat="false" ht="15" hidden="false" customHeight="false" outlineLevel="0" collapsed="false">
      <c r="A71" s="15"/>
      <c r="B71" s="15"/>
      <c r="C71" s="15"/>
      <c r="D71" s="16"/>
      <c r="E71" s="16"/>
      <c r="F71" s="17"/>
      <c r="G71" s="15"/>
      <c r="H71" s="16"/>
      <c r="I71" s="17"/>
      <c r="J71" s="12" t="str">
        <f aca="false">IF(H71="","",H71+Summary!$B$4)</f>
        <v/>
      </c>
      <c r="K71" s="17"/>
      <c r="L71" s="16"/>
      <c r="M71" s="13" t="str">
        <f aca="false">IF(I71="","",I71-N(K71))</f>
        <v/>
      </c>
      <c r="N71" s="14" t="str">
        <f aca="true">IF(A71="","",IF(I71="",IF(E71&lt;&gt;"","To invoice","In progress"),IF(M71&lt;=0,"Paid",IF(TODAY()&gt;J71,"Overdue","Awaiting payment"))))</f>
        <v/>
      </c>
    </row>
    <row r="72" customFormat="false" ht="15" hidden="false" customHeight="false" outlineLevel="0" collapsed="false">
      <c r="A72" s="15"/>
      <c r="B72" s="15"/>
      <c r="C72" s="15"/>
      <c r="D72" s="16"/>
      <c r="E72" s="16"/>
      <c r="F72" s="17"/>
      <c r="G72" s="15"/>
      <c r="H72" s="16"/>
      <c r="I72" s="17"/>
      <c r="J72" s="12" t="str">
        <f aca="false">IF(H72="","",H72+Summary!$B$4)</f>
        <v/>
      </c>
      <c r="K72" s="17"/>
      <c r="L72" s="16"/>
      <c r="M72" s="13" t="str">
        <f aca="false">IF(I72="","",I72-N(K72))</f>
        <v/>
      </c>
      <c r="N72" s="14" t="str">
        <f aca="true">IF(A72="","",IF(I72="",IF(E72&lt;&gt;"","To invoice","In progress"),IF(M72&lt;=0,"Paid",IF(TODAY()&gt;J72,"Overdue","Awaiting payment"))))</f>
        <v/>
      </c>
    </row>
    <row r="73" customFormat="false" ht="15" hidden="false" customHeight="false" outlineLevel="0" collapsed="false">
      <c r="A73" s="15"/>
      <c r="B73" s="15"/>
      <c r="C73" s="15"/>
      <c r="D73" s="16"/>
      <c r="E73" s="16"/>
      <c r="F73" s="17"/>
      <c r="G73" s="15"/>
      <c r="H73" s="16"/>
      <c r="I73" s="17"/>
      <c r="J73" s="12" t="str">
        <f aca="false">IF(H73="","",H73+Summary!$B$4)</f>
        <v/>
      </c>
      <c r="K73" s="17"/>
      <c r="L73" s="16"/>
      <c r="M73" s="13" t="str">
        <f aca="false">IF(I73="","",I73-N(K73))</f>
        <v/>
      </c>
      <c r="N73" s="14" t="str">
        <f aca="true">IF(A73="","",IF(I73="",IF(E73&lt;&gt;"","To invoice","In progress"),IF(M73&lt;=0,"Paid",IF(TODAY()&gt;J73,"Overdue","Awaiting payment"))))</f>
        <v/>
      </c>
    </row>
    <row r="74" customFormat="false" ht="15" hidden="false" customHeight="false" outlineLevel="0" collapsed="false">
      <c r="A74" s="15"/>
      <c r="B74" s="15"/>
      <c r="C74" s="15"/>
      <c r="D74" s="16"/>
      <c r="E74" s="16"/>
      <c r="F74" s="17"/>
      <c r="G74" s="15"/>
      <c r="H74" s="16"/>
      <c r="I74" s="17"/>
      <c r="J74" s="12" t="str">
        <f aca="false">IF(H74="","",H74+Summary!$B$4)</f>
        <v/>
      </c>
      <c r="K74" s="17"/>
      <c r="L74" s="16"/>
      <c r="M74" s="13" t="str">
        <f aca="false">IF(I74="","",I74-N(K74))</f>
        <v/>
      </c>
      <c r="N74" s="14" t="str">
        <f aca="true">IF(A74="","",IF(I74="",IF(E74&lt;&gt;"","To invoice","In progress"),IF(M74&lt;=0,"Paid",IF(TODAY()&gt;J74,"Overdue","Awaiting payment"))))</f>
        <v/>
      </c>
    </row>
    <row r="75" customFormat="false" ht="15" hidden="false" customHeight="false" outlineLevel="0" collapsed="false">
      <c r="A75" s="15"/>
      <c r="B75" s="15"/>
      <c r="C75" s="15"/>
      <c r="D75" s="16"/>
      <c r="E75" s="16"/>
      <c r="F75" s="17"/>
      <c r="G75" s="15"/>
      <c r="H75" s="16"/>
      <c r="I75" s="17"/>
      <c r="J75" s="12" t="str">
        <f aca="false">IF(H75="","",H75+Summary!$B$4)</f>
        <v/>
      </c>
      <c r="K75" s="17"/>
      <c r="L75" s="16"/>
      <c r="M75" s="13" t="str">
        <f aca="false">IF(I75="","",I75-N(K75))</f>
        <v/>
      </c>
      <c r="N75" s="14" t="str">
        <f aca="true">IF(A75="","",IF(I75="",IF(E75&lt;&gt;"","To invoice","In progress"),IF(M75&lt;=0,"Paid",IF(TODAY()&gt;J75,"Overdue","Awaiting payment"))))</f>
        <v/>
      </c>
    </row>
    <row r="76" customFormat="false" ht="15" hidden="false" customHeight="false" outlineLevel="0" collapsed="false">
      <c r="A76" s="15"/>
      <c r="B76" s="15"/>
      <c r="C76" s="15"/>
      <c r="D76" s="16"/>
      <c r="E76" s="16"/>
      <c r="F76" s="17"/>
      <c r="G76" s="15"/>
      <c r="H76" s="16"/>
      <c r="I76" s="17"/>
      <c r="J76" s="12" t="str">
        <f aca="false">IF(H76="","",H76+Summary!$B$4)</f>
        <v/>
      </c>
      <c r="K76" s="17"/>
      <c r="L76" s="16"/>
      <c r="M76" s="13" t="str">
        <f aca="false">IF(I76="","",I76-N(K76))</f>
        <v/>
      </c>
      <c r="N76" s="14" t="str">
        <f aca="true">IF(A76="","",IF(I76="",IF(E76&lt;&gt;"","To invoice","In progress"),IF(M76&lt;=0,"Paid",IF(TODAY()&gt;J76,"Overdue","Awaiting payment"))))</f>
        <v/>
      </c>
    </row>
    <row r="77" customFormat="false" ht="15" hidden="false" customHeight="false" outlineLevel="0" collapsed="false">
      <c r="A77" s="15"/>
      <c r="B77" s="15"/>
      <c r="C77" s="15"/>
      <c r="D77" s="16"/>
      <c r="E77" s="16"/>
      <c r="F77" s="17"/>
      <c r="G77" s="15"/>
      <c r="H77" s="16"/>
      <c r="I77" s="17"/>
      <c r="J77" s="12" t="str">
        <f aca="false">IF(H77="","",H77+Summary!$B$4)</f>
        <v/>
      </c>
      <c r="K77" s="17"/>
      <c r="L77" s="16"/>
      <c r="M77" s="13" t="str">
        <f aca="false">IF(I77="","",I77-N(K77))</f>
        <v/>
      </c>
      <c r="N77" s="14" t="str">
        <f aca="true">IF(A77="","",IF(I77="",IF(E77&lt;&gt;"","To invoice","In progress"),IF(M77&lt;=0,"Paid",IF(TODAY()&gt;J77,"Overdue","Awaiting payment"))))</f>
        <v/>
      </c>
    </row>
    <row r="78" customFormat="false" ht="15" hidden="false" customHeight="false" outlineLevel="0" collapsed="false">
      <c r="A78" s="15"/>
      <c r="B78" s="15"/>
      <c r="C78" s="15"/>
      <c r="D78" s="16"/>
      <c r="E78" s="16"/>
      <c r="F78" s="17"/>
      <c r="G78" s="15"/>
      <c r="H78" s="16"/>
      <c r="I78" s="17"/>
      <c r="J78" s="12" t="str">
        <f aca="false">IF(H78="","",H78+Summary!$B$4)</f>
        <v/>
      </c>
      <c r="K78" s="17"/>
      <c r="L78" s="16"/>
      <c r="M78" s="13" t="str">
        <f aca="false">IF(I78="","",I78-N(K78))</f>
        <v/>
      </c>
      <c r="N78" s="14" t="str">
        <f aca="true">IF(A78="","",IF(I78="",IF(E78&lt;&gt;"","To invoice","In progress"),IF(M78&lt;=0,"Paid",IF(TODAY()&gt;J78,"Overdue","Awaiting payment"))))</f>
        <v/>
      </c>
    </row>
    <row r="79" customFormat="false" ht="15" hidden="false" customHeight="false" outlineLevel="0" collapsed="false">
      <c r="A79" s="15"/>
      <c r="B79" s="15"/>
      <c r="C79" s="15"/>
      <c r="D79" s="16"/>
      <c r="E79" s="16"/>
      <c r="F79" s="17"/>
      <c r="G79" s="15"/>
      <c r="H79" s="16"/>
      <c r="I79" s="17"/>
      <c r="J79" s="12" t="str">
        <f aca="false">IF(H79="","",H79+Summary!$B$4)</f>
        <v/>
      </c>
      <c r="K79" s="17"/>
      <c r="L79" s="16"/>
      <c r="M79" s="13" t="str">
        <f aca="false">IF(I79="","",I79-N(K79))</f>
        <v/>
      </c>
      <c r="N79" s="14" t="str">
        <f aca="true">IF(A79="","",IF(I79="",IF(E79&lt;&gt;"","To invoice","In progress"),IF(M79&lt;=0,"Paid",IF(TODAY()&gt;J79,"Overdue","Awaiting payment"))))</f>
        <v/>
      </c>
    </row>
    <row r="80" customFormat="false" ht="15" hidden="false" customHeight="false" outlineLevel="0" collapsed="false">
      <c r="A80" s="15"/>
      <c r="B80" s="15"/>
      <c r="C80" s="15"/>
      <c r="D80" s="16"/>
      <c r="E80" s="16"/>
      <c r="F80" s="17"/>
      <c r="G80" s="15"/>
      <c r="H80" s="16"/>
      <c r="I80" s="17"/>
      <c r="J80" s="12" t="str">
        <f aca="false">IF(H80="","",H80+Summary!$B$4)</f>
        <v/>
      </c>
      <c r="K80" s="17"/>
      <c r="L80" s="16"/>
      <c r="M80" s="13" t="str">
        <f aca="false">IF(I80="","",I80-N(K80))</f>
        <v/>
      </c>
      <c r="N80" s="14" t="str">
        <f aca="true">IF(A80="","",IF(I80="",IF(E80&lt;&gt;"","To invoice","In progress"),IF(M80&lt;=0,"Paid",IF(TODAY()&gt;J80,"Overdue","Awaiting payment"))))</f>
        <v/>
      </c>
    </row>
    <row r="81" customFormat="false" ht="15" hidden="false" customHeight="false" outlineLevel="0" collapsed="false">
      <c r="A81" s="15"/>
      <c r="B81" s="15"/>
      <c r="C81" s="15"/>
      <c r="D81" s="16"/>
      <c r="E81" s="16"/>
      <c r="F81" s="17"/>
      <c r="G81" s="15"/>
      <c r="H81" s="16"/>
      <c r="I81" s="17"/>
      <c r="J81" s="12" t="str">
        <f aca="false">IF(H81="","",H81+Summary!$B$4)</f>
        <v/>
      </c>
      <c r="K81" s="17"/>
      <c r="L81" s="16"/>
      <c r="M81" s="13" t="str">
        <f aca="false">IF(I81="","",I81-N(K81))</f>
        <v/>
      </c>
      <c r="N81" s="14" t="str">
        <f aca="true">IF(A81="","",IF(I81="",IF(E81&lt;&gt;"","To invoice","In progress"),IF(M81&lt;=0,"Paid",IF(TODAY()&gt;J81,"Overdue","Awaiting payment"))))</f>
        <v/>
      </c>
    </row>
    <row r="82" customFormat="false" ht="15" hidden="false" customHeight="false" outlineLevel="0" collapsed="false">
      <c r="A82" s="15"/>
      <c r="B82" s="15"/>
      <c r="C82" s="15"/>
      <c r="D82" s="16"/>
      <c r="E82" s="16"/>
      <c r="F82" s="17"/>
      <c r="G82" s="15"/>
      <c r="H82" s="16"/>
      <c r="I82" s="17"/>
      <c r="J82" s="12" t="str">
        <f aca="false">IF(H82="","",H82+Summary!$B$4)</f>
        <v/>
      </c>
      <c r="K82" s="17"/>
      <c r="L82" s="16"/>
      <c r="M82" s="13" t="str">
        <f aca="false">IF(I82="","",I82-N(K82))</f>
        <v/>
      </c>
      <c r="N82" s="14" t="str">
        <f aca="true">IF(A82="","",IF(I82="",IF(E82&lt;&gt;"","To invoice","In progress"),IF(M82&lt;=0,"Paid",IF(TODAY()&gt;J82,"Overdue","Awaiting payment"))))</f>
        <v/>
      </c>
    </row>
    <row r="83" customFormat="false" ht="15" hidden="false" customHeight="false" outlineLevel="0" collapsed="false">
      <c r="A83" s="15"/>
      <c r="B83" s="15"/>
      <c r="C83" s="15"/>
      <c r="D83" s="16"/>
      <c r="E83" s="16"/>
      <c r="F83" s="17"/>
      <c r="G83" s="15"/>
      <c r="H83" s="16"/>
      <c r="I83" s="17"/>
      <c r="J83" s="12" t="str">
        <f aca="false">IF(H83="","",H83+Summary!$B$4)</f>
        <v/>
      </c>
      <c r="K83" s="17"/>
      <c r="L83" s="16"/>
      <c r="M83" s="13" t="str">
        <f aca="false">IF(I83="","",I83-N(K83))</f>
        <v/>
      </c>
      <c r="N83" s="14" t="str">
        <f aca="true">IF(A83="","",IF(I83="",IF(E83&lt;&gt;"","To invoice","In progress"),IF(M83&lt;=0,"Paid",IF(TODAY()&gt;J83,"Overdue","Awaiting payment"))))</f>
        <v/>
      </c>
    </row>
    <row r="84" customFormat="false" ht="15" hidden="false" customHeight="false" outlineLevel="0" collapsed="false">
      <c r="A84" s="15"/>
      <c r="B84" s="15"/>
      <c r="C84" s="15"/>
      <c r="D84" s="16"/>
      <c r="E84" s="16"/>
      <c r="F84" s="17"/>
      <c r="G84" s="15"/>
      <c r="H84" s="16"/>
      <c r="I84" s="17"/>
      <c r="J84" s="12" t="str">
        <f aca="false">IF(H84="","",H84+Summary!$B$4)</f>
        <v/>
      </c>
      <c r="K84" s="17"/>
      <c r="L84" s="16"/>
      <c r="M84" s="13" t="str">
        <f aca="false">IF(I84="","",I84-N(K84))</f>
        <v/>
      </c>
      <c r="N84" s="14" t="str">
        <f aca="true">IF(A84="","",IF(I84="",IF(E84&lt;&gt;"","To invoice","In progress"),IF(M84&lt;=0,"Paid",IF(TODAY()&gt;J84,"Overdue","Awaiting payment"))))</f>
        <v/>
      </c>
    </row>
    <row r="85" customFormat="false" ht="15" hidden="false" customHeight="false" outlineLevel="0" collapsed="false">
      <c r="A85" s="15"/>
      <c r="B85" s="15"/>
      <c r="C85" s="15"/>
      <c r="D85" s="16"/>
      <c r="E85" s="16"/>
      <c r="F85" s="17"/>
      <c r="G85" s="15"/>
      <c r="H85" s="16"/>
      <c r="I85" s="17"/>
      <c r="J85" s="12" t="str">
        <f aca="false">IF(H85="","",H85+Summary!$B$4)</f>
        <v/>
      </c>
      <c r="K85" s="17"/>
      <c r="L85" s="16"/>
      <c r="M85" s="13" t="str">
        <f aca="false">IF(I85="","",I85-N(K85))</f>
        <v/>
      </c>
      <c r="N85" s="14" t="str">
        <f aca="true">IF(A85="","",IF(I85="",IF(E85&lt;&gt;"","To invoice","In progress"),IF(M85&lt;=0,"Paid",IF(TODAY()&gt;J85,"Overdue","Awaiting payment"))))</f>
        <v/>
      </c>
    </row>
    <row r="86" customFormat="false" ht="15" hidden="false" customHeight="false" outlineLevel="0" collapsed="false">
      <c r="A86" s="15"/>
      <c r="B86" s="15"/>
      <c r="C86" s="15"/>
      <c r="D86" s="16"/>
      <c r="E86" s="16"/>
      <c r="F86" s="17"/>
      <c r="G86" s="15"/>
      <c r="H86" s="16"/>
      <c r="I86" s="17"/>
      <c r="J86" s="12" t="str">
        <f aca="false">IF(H86="","",H86+Summary!$B$4)</f>
        <v/>
      </c>
      <c r="K86" s="17"/>
      <c r="L86" s="16"/>
      <c r="M86" s="13" t="str">
        <f aca="false">IF(I86="","",I86-N(K86))</f>
        <v/>
      </c>
      <c r="N86" s="14" t="str">
        <f aca="true">IF(A86="","",IF(I86="",IF(E86&lt;&gt;"","To invoice","In progress"),IF(M86&lt;=0,"Paid",IF(TODAY()&gt;J86,"Overdue","Awaiting payment"))))</f>
        <v/>
      </c>
    </row>
    <row r="87" customFormat="false" ht="15" hidden="false" customHeight="false" outlineLevel="0" collapsed="false">
      <c r="A87" s="15"/>
      <c r="B87" s="15"/>
      <c r="C87" s="15"/>
      <c r="D87" s="16"/>
      <c r="E87" s="16"/>
      <c r="F87" s="17"/>
      <c r="G87" s="15"/>
      <c r="H87" s="16"/>
      <c r="I87" s="17"/>
      <c r="J87" s="12" t="str">
        <f aca="false">IF(H87="","",H87+Summary!$B$4)</f>
        <v/>
      </c>
      <c r="K87" s="17"/>
      <c r="L87" s="16"/>
      <c r="M87" s="13" t="str">
        <f aca="false">IF(I87="","",I87-N(K87))</f>
        <v/>
      </c>
      <c r="N87" s="14" t="str">
        <f aca="true">IF(A87="","",IF(I87="",IF(E87&lt;&gt;"","To invoice","In progress"),IF(M87&lt;=0,"Paid",IF(TODAY()&gt;J87,"Overdue","Awaiting payment"))))</f>
        <v/>
      </c>
    </row>
    <row r="88" customFormat="false" ht="15" hidden="false" customHeight="false" outlineLevel="0" collapsed="false">
      <c r="A88" s="15"/>
      <c r="B88" s="15"/>
      <c r="C88" s="15"/>
      <c r="D88" s="16"/>
      <c r="E88" s="16"/>
      <c r="F88" s="17"/>
      <c r="G88" s="15"/>
      <c r="H88" s="16"/>
      <c r="I88" s="17"/>
      <c r="J88" s="12" t="str">
        <f aca="false">IF(H88="","",H88+Summary!$B$4)</f>
        <v/>
      </c>
      <c r="K88" s="17"/>
      <c r="L88" s="16"/>
      <c r="M88" s="13" t="str">
        <f aca="false">IF(I88="","",I88-N(K88))</f>
        <v/>
      </c>
      <c r="N88" s="14" t="str">
        <f aca="true">IF(A88="","",IF(I88="",IF(E88&lt;&gt;"","To invoice","In progress"),IF(M88&lt;=0,"Paid",IF(TODAY()&gt;J88,"Overdue","Awaiting payment"))))</f>
        <v/>
      </c>
    </row>
    <row r="89" customFormat="false" ht="15" hidden="false" customHeight="false" outlineLevel="0" collapsed="false">
      <c r="A89" s="15"/>
      <c r="B89" s="15"/>
      <c r="C89" s="15"/>
      <c r="D89" s="16"/>
      <c r="E89" s="16"/>
      <c r="F89" s="17"/>
      <c r="G89" s="15"/>
      <c r="H89" s="16"/>
      <c r="I89" s="17"/>
      <c r="J89" s="12" t="str">
        <f aca="false">IF(H89="","",H89+Summary!$B$4)</f>
        <v/>
      </c>
      <c r="K89" s="17"/>
      <c r="L89" s="16"/>
      <c r="M89" s="13" t="str">
        <f aca="false">IF(I89="","",I89-N(K89))</f>
        <v/>
      </c>
      <c r="N89" s="14" t="str">
        <f aca="true">IF(A89="","",IF(I89="",IF(E89&lt;&gt;"","To invoice","In progress"),IF(M89&lt;=0,"Paid",IF(TODAY()&gt;J89,"Overdue","Awaiting payment"))))</f>
        <v/>
      </c>
    </row>
    <row r="90" customFormat="false" ht="15" hidden="false" customHeight="false" outlineLevel="0" collapsed="false">
      <c r="A90" s="15"/>
      <c r="B90" s="15"/>
      <c r="C90" s="15"/>
      <c r="D90" s="16"/>
      <c r="E90" s="16"/>
      <c r="F90" s="17"/>
      <c r="G90" s="15"/>
      <c r="H90" s="16"/>
      <c r="I90" s="17"/>
      <c r="J90" s="12" t="str">
        <f aca="false">IF(H90="","",H90+Summary!$B$4)</f>
        <v/>
      </c>
      <c r="K90" s="17"/>
      <c r="L90" s="16"/>
      <c r="M90" s="13" t="str">
        <f aca="false">IF(I90="","",I90-N(K90))</f>
        <v/>
      </c>
      <c r="N90" s="14" t="str">
        <f aca="true">IF(A90="","",IF(I90="",IF(E90&lt;&gt;"","To invoice","In progress"),IF(M90&lt;=0,"Paid",IF(TODAY()&gt;J90,"Overdue","Awaiting payment"))))</f>
        <v/>
      </c>
    </row>
    <row r="91" customFormat="false" ht="15" hidden="false" customHeight="false" outlineLevel="0" collapsed="false">
      <c r="A91" s="15"/>
      <c r="B91" s="15"/>
      <c r="C91" s="15"/>
      <c r="D91" s="16"/>
      <c r="E91" s="16"/>
      <c r="F91" s="17"/>
      <c r="G91" s="15"/>
      <c r="H91" s="16"/>
      <c r="I91" s="17"/>
      <c r="J91" s="12" t="str">
        <f aca="false">IF(H91="","",H91+Summary!$B$4)</f>
        <v/>
      </c>
      <c r="K91" s="17"/>
      <c r="L91" s="16"/>
      <c r="M91" s="13" t="str">
        <f aca="false">IF(I91="","",I91-N(K91))</f>
        <v/>
      </c>
      <c r="N91" s="14" t="str">
        <f aca="true">IF(A91="","",IF(I91="",IF(E91&lt;&gt;"","To invoice","In progress"),IF(M91&lt;=0,"Paid",IF(TODAY()&gt;J91,"Overdue","Awaiting payment"))))</f>
        <v/>
      </c>
    </row>
    <row r="92" customFormat="false" ht="15" hidden="false" customHeight="false" outlineLevel="0" collapsed="false">
      <c r="A92" s="15"/>
      <c r="B92" s="15"/>
      <c r="C92" s="15"/>
      <c r="D92" s="16"/>
      <c r="E92" s="16"/>
      <c r="F92" s="17"/>
      <c r="G92" s="15"/>
      <c r="H92" s="16"/>
      <c r="I92" s="17"/>
      <c r="J92" s="12" t="str">
        <f aca="false">IF(H92="","",H92+Summary!$B$4)</f>
        <v/>
      </c>
      <c r="K92" s="17"/>
      <c r="L92" s="16"/>
      <c r="M92" s="13" t="str">
        <f aca="false">IF(I92="","",I92-N(K92))</f>
        <v/>
      </c>
      <c r="N92" s="14" t="str">
        <f aca="true">IF(A92="","",IF(I92="",IF(E92&lt;&gt;"","To invoice","In progress"),IF(M92&lt;=0,"Paid",IF(TODAY()&gt;J92,"Overdue","Awaiting payment"))))</f>
        <v/>
      </c>
    </row>
    <row r="93" customFormat="false" ht="15" hidden="false" customHeight="false" outlineLevel="0" collapsed="false">
      <c r="A93" s="15"/>
      <c r="B93" s="15"/>
      <c r="C93" s="15"/>
      <c r="D93" s="16"/>
      <c r="E93" s="16"/>
      <c r="F93" s="17"/>
      <c r="G93" s="15"/>
      <c r="H93" s="16"/>
      <c r="I93" s="17"/>
      <c r="J93" s="12" t="str">
        <f aca="false">IF(H93="","",H93+Summary!$B$4)</f>
        <v/>
      </c>
      <c r="K93" s="17"/>
      <c r="L93" s="16"/>
      <c r="M93" s="13" t="str">
        <f aca="false">IF(I93="","",I93-N(K93))</f>
        <v/>
      </c>
      <c r="N93" s="14" t="str">
        <f aca="true">IF(A93="","",IF(I93="",IF(E93&lt;&gt;"","To invoice","In progress"),IF(M93&lt;=0,"Paid",IF(TODAY()&gt;J93,"Overdue","Awaiting payment"))))</f>
        <v/>
      </c>
    </row>
    <row r="94" customFormat="false" ht="15" hidden="false" customHeight="false" outlineLevel="0" collapsed="false">
      <c r="A94" s="15"/>
      <c r="B94" s="15"/>
      <c r="C94" s="15"/>
      <c r="D94" s="16"/>
      <c r="E94" s="16"/>
      <c r="F94" s="17"/>
      <c r="G94" s="15"/>
      <c r="H94" s="16"/>
      <c r="I94" s="17"/>
      <c r="J94" s="12" t="str">
        <f aca="false">IF(H94="","",H94+Summary!$B$4)</f>
        <v/>
      </c>
      <c r="K94" s="17"/>
      <c r="L94" s="16"/>
      <c r="M94" s="13" t="str">
        <f aca="false">IF(I94="","",I94-N(K94))</f>
        <v/>
      </c>
      <c r="N94" s="14" t="str">
        <f aca="true">IF(A94="","",IF(I94="",IF(E94&lt;&gt;"","To invoice","In progress"),IF(M94&lt;=0,"Paid",IF(TODAY()&gt;J94,"Overdue","Awaiting payment"))))</f>
        <v/>
      </c>
    </row>
    <row r="95" customFormat="false" ht="15" hidden="false" customHeight="false" outlineLevel="0" collapsed="false">
      <c r="A95" s="15"/>
      <c r="B95" s="15"/>
      <c r="C95" s="15"/>
      <c r="D95" s="16"/>
      <c r="E95" s="16"/>
      <c r="F95" s="17"/>
      <c r="G95" s="15"/>
      <c r="H95" s="16"/>
      <c r="I95" s="17"/>
      <c r="J95" s="12" t="str">
        <f aca="false">IF(H95="","",H95+Summary!$B$4)</f>
        <v/>
      </c>
      <c r="K95" s="17"/>
      <c r="L95" s="16"/>
      <c r="M95" s="13" t="str">
        <f aca="false">IF(I95="","",I95-N(K95))</f>
        <v/>
      </c>
      <c r="N95" s="14" t="str">
        <f aca="true">IF(A95="","",IF(I95="",IF(E95&lt;&gt;"","To invoice","In progress"),IF(M95&lt;=0,"Paid",IF(TODAY()&gt;J95,"Overdue","Awaiting payment"))))</f>
        <v/>
      </c>
    </row>
    <row r="96" customFormat="false" ht="15" hidden="false" customHeight="false" outlineLevel="0" collapsed="false">
      <c r="A96" s="15"/>
      <c r="B96" s="15"/>
      <c r="C96" s="15"/>
      <c r="D96" s="16"/>
      <c r="E96" s="16"/>
      <c r="F96" s="17"/>
      <c r="G96" s="15"/>
      <c r="H96" s="16"/>
      <c r="I96" s="17"/>
      <c r="J96" s="12" t="str">
        <f aca="false">IF(H96="","",H96+Summary!$B$4)</f>
        <v/>
      </c>
      <c r="K96" s="17"/>
      <c r="L96" s="16"/>
      <c r="M96" s="13" t="str">
        <f aca="false">IF(I96="","",I96-N(K96))</f>
        <v/>
      </c>
      <c r="N96" s="14" t="str">
        <f aca="true">IF(A96="","",IF(I96="",IF(E96&lt;&gt;"","To invoice","In progress"),IF(M96&lt;=0,"Paid",IF(TODAY()&gt;J96,"Overdue","Awaiting payment"))))</f>
        <v/>
      </c>
    </row>
    <row r="97" customFormat="false" ht="15" hidden="false" customHeight="false" outlineLevel="0" collapsed="false">
      <c r="A97" s="15"/>
      <c r="B97" s="15"/>
      <c r="C97" s="15"/>
      <c r="D97" s="16"/>
      <c r="E97" s="16"/>
      <c r="F97" s="17"/>
      <c r="G97" s="15"/>
      <c r="H97" s="16"/>
      <c r="I97" s="17"/>
      <c r="J97" s="12" t="str">
        <f aca="false">IF(H97="","",H97+Summary!$B$4)</f>
        <v/>
      </c>
      <c r="K97" s="17"/>
      <c r="L97" s="16"/>
      <c r="M97" s="13" t="str">
        <f aca="false">IF(I97="","",I97-N(K97))</f>
        <v/>
      </c>
      <c r="N97" s="14" t="str">
        <f aca="true">IF(A97="","",IF(I97="",IF(E97&lt;&gt;"","To invoice","In progress"),IF(M97&lt;=0,"Paid",IF(TODAY()&gt;J97,"Overdue","Awaiting payment"))))</f>
        <v/>
      </c>
    </row>
    <row r="98" customFormat="false" ht="15" hidden="false" customHeight="false" outlineLevel="0" collapsed="false">
      <c r="A98" s="15"/>
      <c r="B98" s="15"/>
      <c r="C98" s="15"/>
      <c r="D98" s="16"/>
      <c r="E98" s="16"/>
      <c r="F98" s="17"/>
      <c r="G98" s="15"/>
      <c r="H98" s="16"/>
      <c r="I98" s="17"/>
      <c r="J98" s="12" t="str">
        <f aca="false">IF(H98="","",H98+Summary!$B$4)</f>
        <v/>
      </c>
      <c r="K98" s="17"/>
      <c r="L98" s="16"/>
      <c r="M98" s="13" t="str">
        <f aca="false">IF(I98="","",I98-N(K98))</f>
        <v/>
      </c>
      <c r="N98" s="14" t="str">
        <f aca="true">IF(A98="","",IF(I98="",IF(E98&lt;&gt;"","To invoice","In progress"),IF(M98&lt;=0,"Paid",IF(TODAY()&gt;J98,"Overdue","Awaiting payment"))))</f>
        <v/>
      </c>
    </row>
    <row r="99" customFormat="false" ht="15" hidden="false" customHeight="false" outlineLevel="0" collapsed="false">
      <c r="A99" s="15"/>
      <c r="B99" s="15"/>
      <c r="C99" s="15"/>
      <c r="D99" s="16"/>
      <c r="E99" s="16"/>
      <c r="F99" s="17"/>
      <c r="G99" s="15"/>
      <c r="H99" s="16"/>
      <c r="I99" s="17"/>
      <c r="J99" s="12" t="str">
        <f aca="false">IF(H99="","",H99+Summary!$B$4)</f>
        <v/>
      </c>
      <c r="K99" s="17"/>
      <c r="L99" s="16"/>
      <c r="M99" s="13" t="str">
        <f aca="false">IF(I99="","",I99-N(K99))</f>
        <v/>
      </c>
      <c r="N99" s="14" t="str">
        <f aca="true">IF(A99="","",IF(I99="",IF(E99&lt;&gt;"","To invoice","In progress"),IF(M99&lt;=0,"Paid",IF(TODAY()&gt;J99,"Overdue","Awaiting payment"))))</f>
        <v/>
      </c>
    </row>
    <row r="100" customFormat="false" ht="15" hidden="false" customHeight="false" outlineLevel="0" collapsed="false">
      <c r="A100" s="15"/>
      <c r="B100" s="15"/>
      <c r="C100" s="15"/>
      <c r="D100" s="16"/>
      <c r="E100" s="16"/>
      <c r="F100" s="17"/>
      <c r="G100" s="15"/>
      <c r="H100" s="16"/>
      <c r="I100" s="17"/>
      <c r="J100" s="12" t="str">
        <f aca="false">IF(H100="","",H100+Summary!$B$4)</f>
        <v/>
      </c>
      <c r="K100" s="17"/>
      <c r="L100" s="16"/>
      <c r="M100" s="13" t="str">
        <f aca="false">IF(I100="","",I100-N(K100))</f>
        <v/>
      </c>
      <c r="N100" s="14" t="str">
        <f aca="true">IF(A100="","",IF(I100="",IF(E100&lt;&gt;"","To invoice","In progress"),IF(M100&lt;=0,"Paid",IF(TODAY()&gt;J100,"Overdue","Awaiting payment"))))</f>
        <v/>
      </c>
    </row>
    <row r="101" customFormat="false" ht="15" hidden="false" customHeight="false" outlineLevel="0" collapsed="false">
      <c r="A101" s="15"/>
      <c r="B101" s="15"/>
      <c r="C101" s="15"/>
      <c r="D101" s="16"/>
      <c r="E101" s="16"/>
      <c r="F101" s="17"/>
      <c r="G101" s="15"/>
      <c r="H101" s="16"/>
      <c r="I101" s="17"/>
      <c r="J101" s="12" t="str">
        <f aca="false">IF(H101="","",H101+Summary!$B$4)</f>
        <v/>
      </c>
      <c r="K101" s="17"/>
      <c r="L101" s="16"/>
      <c r="M101" s="13" t="str">
        <f aca="false">IF(I101="","",I101-N(K101))</f>
        <v/>
      </c>
      <c r="N101" s="14" t="str">
        <f aca="true">IF(A101="","",IF(I101="",IF(E101&lt;&gt;"","To invoice","In progress"),IF(M101&lt;=0,"Paid",IF(TODAY()&gt;J101,"Overdue","Awaiting payment"))))</f>
        <v/>
      </c>
    </row>
    <row r="102" customFormat="false" ht="15" hidden="false" customHeight="false" outlineLevel="0" collapsed="false">
      <c r="A102" s="15"/>
      <c r="B102" s="15"/>
      <c r="C102" s="15"/>
      <c r="D102" s="16"/>
      <c r="E102" s="16"/>
      <c r="F102" s="17"/>
      <c r="G102" s="15"/>
      <c r="H102" s="16"/>
      <c r="I102" s="17"/>
      <c r="J102" s="12" t="str">
        <f aca="false">IF(H102="","",H102+Summary!$B$4)</f>
        <v/>
      </c>
      <c r="K102" s="17"/>
      <c r="L102" s="16"/>
      <c r="M102" s="13" t="str">
        <f aca="false">IF(I102="","",I102-N(K102))</f>
        <v/>
      </c>
      <c r="N102" s="14" t="str">
        <f aca="true">IF(A102="","",IF(I102="",IF(E102&lt;&gt;"","To invoice","In progress"),IF(M102&lt;=0,"Paid",IF(TODAY()&gt;J102,"Overdue","Awaiting payment"))))</f>
        <v/>
      </c>
    </row>
    <row r="103" customFormat="false" ht="15" hidden="false" customHeight="false" outlineLevel="0" collapsed="false">
      <c r="A103" s="15"/>
      <c r="B103" s="15"/>
      <c r="C103" s="15"/>
      <c r="D103" s="16"/>
      <c r="E103" s="16"/>
      <c r="F103" s="17"/>
      <c r="G103" s="15"/>
      <c r="H103" s="16"/>
      <c r="I103" s="17"/>
      <c r="J103" s="12" t="str">
        <f aca="false">IF(H103="","",H103+Summary!$B$4)</f>
        <v/>
      </c>
      <c r="K103" s="17"/>
      <c r="L103" s="16"/>
      <c r="M103" s="13" t="str">
        <f aca="false">IF(I103="","",I103-N(K103))</f>
        <v/>
      </c>
      <c r="N103" s="14" t="str">
        <f aca="true">IF(A103="","",IF(I103="",IF(E103&lt;&gt;"","To invoice","In progress"),IF(M103&lt;=0,"Paid",IF(TODAY()&gt;J103,"Overdue","Awaiting payment"))))</f>
        <v/>
      </c>
    </row>
    <row r="104" customFormat="false" ht="15" hidden="false" customHeight="false" outlineLevel="0" collapsed="false">
      <c r="A104" s="15"/>
      <c r="B104" s="15"/>
      <c r="C104" s="15"/>
      <c r="D104" s="16"/>
      <c r="E104" s="16"/>
      <c r="F104" s="17"/>
      <c r="G104" s="15"/>
      <c r="H104" s="16"/>
      <c r="I104" s="17"/>
      <c r="J104" s="12" t="str">
        <f aca="false">IF(H104="","",H104+Summary!$B$4)</f>
        <v/>
      </c>
      <c r="K104" s="17"/>
      <c r="L104" s="16"/>
      <c r="M104" s="13" t="str">
        <f aca="false">IF(I104="","",I104-N(K104))</f>
        <v/>
      </c>
      <c r="N104" s="14" t="str">
        <f aca="true">IF(A104="","",IF(I104="",IF(E104&lt;&gt;"","To invoice","In progress"),IF(M104&lt;=0,"Paid",IF(TODAY()&gt;J104,"Overdue","Awaiting payment"))))</f>
        <v/>
      </c>
    </row>
    <row r="105" customFormat="false" ht="15" hidden="false" customHeight="false" outlineLevel="0" collapsed="false">
      <c r="A105" s="15"/>
      <c r="B105" s="15"/>
      <c r="C105" s="15"/>
      <c r="D105" s="16"/>
      <c r="E105" s="16"/>
      <c r="F105" s="17"/>
      <c r="G105" s="15"/>
      <c r="H105" s="16"/>
      <c r="I105" s="17"/>
      <c r="J105" s="12" t="str">
        <f aca="false">IF(H105="","",H105+Summary!$B$4)</f>
        <v/>
      </c>
      <c r="K105" s="17"/>
      <c r="L105" s="16"/>
      <c r="M105" s="13" t="str">
        <f aca="false">IF(I105="","",I105-N(K105))</f>
        <v/>
      </c>
      <c r="N105" s="14" t="str">
        <f aca="true">IF(A105="","",IF(I105="",IF(E105&lt;&gt;"","To invoice","In progress"),IF(M105&lt;=0,"Paid",IF(TODAY()&gt;J105,"Overdue","Awaiting payment"))))</f>
        <v/>
      </c>
    </row>
    <row r="106" customFormat="false" ht="15" hidden="false" customHeight="false" outlineLevel="0" collapsed="false">
      <c r="A106" s="15"/>
      <c r="B106" s="15"/>
      <c r="C106" s="15"/>
      <c r="D106" s="16"/>
      <c r="E106" s="16"/>
      <c r="F106" s="17"/>
      <c r="G106" s="15"/>
      <c r="H106" s="16"/>
      <c r="I106" s="17"/>
      <c r="J106" s="12" t="str">
        <f aca="false">IF(H106="","",H106+Summary!$B$4)</f>
        <v/>
      </c>
      <c r="K106" s="17"/>
      <c r="L106" s="16"/>
      <c r="M106" s="13" t="str">
        <f aca="false">IF(I106="","",I106-N(K106))</f>
        <v/>
      </c>
      <c r="N106" s="14" t="str">
        <f aca="true">IF(A106="","",IF(I106="",IF(E106&lt;&gt;"","To invoice","In progress"),IF(M106&lt;=0,"Paid",IF(TODAY()&gt;J106,"Overdue","Awaiting payment"))))</f>
        <v/>
      </c>
    </row>
    <row r="107" customFormat="false" ht="15" hidden="false" customHeight="false" outlineLevel="0" collapsed="false">
      <c r="A107" s="15"/>
      <c r="B107" s="15"/>
      <c r="C107" s="15"/>
      <c r="D107" s="16"/>
      <c r="E107" s="16"/>
      <c r="F107" s="17"/>
      <c r="G107" s="15"/>
      <c r="H107" s="16"/>
      <c r="I107" s="17"/>
      <c r="J107" s="12" t="str">
        <f aca="false">IF(H107="","",H107+Summary!$B$4)</f>
        <v/>
      </c>
      <c r="K107" s="17"/>
      <c r="L107" s="16"/>
      <c r="M107" s="13" t="str">
        <f aca="false">IF(I107="","",I107-N(K107))</f>
        <v/>
      </c>
      <c r="N107" s="14" t="str">
        <f aca="true">IF(A107="","",IF(I107="",IF(E107&lt;&gt;"","To invoice","In progress"),IF(M107&lt;=0,"Paid",IF(TODAY()&gt;J107,"Overdue","Awaiting payment"))))</f>
        <v/>
      </c>
    </row>
    <row r="108" customFormat="false" ht="15" hidden="false" customHeight="false" outlineLevel="0" collapsed="false">
      <c r="A108" s="15"/>
      <c r="B108" s="15"/>
      <c r="C108" s="15"/>
      <c r="D108" s="16"/>
      <c r="E108" s="16"/>
      <c r="F108" s="17"/>
      <c r="G108" s="15"/>
      <c r="H108" s="16"/>
      <c r="I108" s="17"/>
      <c r="J108" s="12" t="str">
        <f aca="false">IF(H108="","",H108+Summary!$B$4)</f>
        <v/>
      </c>
      <c r="K108" s="17"/>
      <c r="L108" s="16"/>
      <c r="M108" s="13" t="str">
        <f aca="false">IF(I108="","",I108-N(K108))</f>
        <v/>
      </c>
      <c r="N108" s="14" t="str">
        <f aca="true">IF(A108="","",IF(I108="",IF(E108&lt;&gt;"","To invoice","In progress"),IF(M108&lt;=0,"Paid",IF(TODAY()&gt;J108,"Overdue","Awaiting payment"))))</f>
        <v/>
      </c>
    </row>
    <row r="109" customFormat="false" ht="15" hidden="false" customHeight="false" outlineLevel="0" collapsed="false">
      <c r="A109" s="15"/>
      <c r="B109" s="15"/>
      <c r="C109" s="15"/>
      <c r="D109" s="16"/>
      <c r="E109" s="16"/>
      <c r="F109" s="17"/>
      <c r="G109" s="15"/>
      <c r="H109" s="16"/>
      <c r="I109" s="17"/>
      <c r="J109" s="12" t="str">
        <f aca="false">IF(H109="","",H109+Summary!$B$4)</f>
        <v/>
      </c>
      <c r="K109" s="17"/>
      <c r="L109" s="16"/>
      <c r="M109" s="13" t="str">
        <f aca="false">IF(I109="","",I109-N(K109))</f>
        <v/>
      </c>
      <c r="N109" s="14" t="str">
        <f aca="true">IF(A109="","",IF(I109="",IF(E109&lt;&gt;"","To invoice","In progress"),IF(M109&lt;=0,"Paid",IF(TODAY()&gt;J109,"Overdue","Awaiting payment"))))</f>
        <v/>
      </c>
    </row>
    <row r="110" customFormat="false" ht="15" hidden="false" customHeight="false" outlineLevel="0" collapsed="false">
      <c r="A110" s="15"/>
      <c r="B110" s="15"/>
      <c r="C110" s="15"/>
      <c r="D110" s="16"/>
      <c r="E110" s="16"/>
      <c r="F110" s="17"/>
      <c r="G110" s="15"/>
      <c r="H110" s="16"/>
      <c r="I110" s="17"/>
      <c r="J110" s="12" t="str">
        <f aca="false">IF(H110="","",H110+Summary!$B$4)</f>
        <v/>
      </c>
      <c r="K110" s="17"/>
      <c r="L110" s="16"/>
      <c r="M110" s="13" t="str">
        <f aca="false">IF(I110="","",I110-N(K110))</f>
        <v/>
      </c>
      <c r="N110" s="14" t="str">
        <f aca="true">IF(A110="","",IF(I110="",IF(E110&lt;&gt;"","To invoice","In progress"),IF(M110&lt;=0,"Paid",IF(TODAY()&gt;J110,"Overdue","Awaiting payment"))))</f>
        <v/>
      </c>
    </row>
    <row r="111" customFormat="false" ht="15" hidden="false" customHeight="false" outlineLevel="0" collapsed="false">
      <c r="A111" s="15"/>
      <c r="B111" s="15"/>
      <c r="C111" s="15"/>
      <c r="D111" s="16"/>
      <c r="E111" s="16"/>
      <c r="F111" s="17"/>
      <c r="G111" s="15"/>
      <c r="H111" s="16"/>
      <c r="I111" s="17"/>
      <c r="J111" s="12" t="str">
        <f aca="false">IF(H111="","",H111+Summary!$B$4)</f>
        <v/>
      </c>
      <c r="K111" s="17"/>
      <c r="L111" s="16"/>
      <c r="M111" s="13" t="str">
        <f aca="false">IF(I111="","",I111-N(K111))</f>
        <v/>
      </c>
      <c r="N111" s="14" t="str">
        <f aca="true">IF(A111="","",IF(I111="",IF(E111&lt;&gt;"","To invoice","In progress"),IF(M111&lt;=0,"Paid",IF(TODAY()&gt;J111,"Overdue","Awaiting payment"))))</f>
        <v/>
      </c>
    </row>
    <row r="112" customFormat="false" ht="15" hidden="false" customHeight="false" outlineLevel="0" collapsed="false">
      <c r="A112" s="15"/>
      <c r="B112" s="15"/>
      <c r="C112" s="15"/>
      <c r="D112" s="16"/>
      <c r="E112" s="16"/>
      <c r="F112" s="17"/>
      <c r="G112" s="15"/>
      <c r="H112" s="16"/>
      <c r="I112" s="17"/>
      <c r="J112" s="12" t="str">
        <f aca="false">IF(H112="","",H112+Summary!$B$4)</f>
        <v/>
      </c>
      <c r="K112" s="17"/>
      <c r="L112" s="16"/>
      <c r="M112" s="13" t="str">
        <f aca="false">IF(I112="","",I112-N(K112))</f>
        <v/>
      </c>
      <c r="N112" s="14" t="str">
        <f aca="true">IF(A112="","",IF(I112="",IF(E112&lt;&gt;"","To invoice","In progress"),IF(M112&lt;=0,"Paid",IF(TODAY()&gt;J112,"Overdue","Awaiting payment"))))</f>
        <v/>
      </c>
    </row>
    <row r="113" customFormat="false" ht="15" hidden="false" customHeight="false" outlineLevel="0" collapsed="false">
      <c r="A113" s="15"/>
      <c r="B113" s="15"/>
      <c r="C113" s="15"/>
      <c r="D113" s="16"/>
      <c r="E113" s="16"/>
      <c r="F113" s="17"/>
      <c r="G113" s="15"/>
      <c r="H113" s="16"/>
      <c r="I113" s="17"/>
      <c r="J113" s="12" t="str">
        <f aca="false">IF(H113="","",H113+Summary!$B$4)</f>
        <v/>
      </c>
      <c r="K113" s="17"/>
      <c r="L113" s="16"/>
      <c r="M113" s="13" t="str">
        <f aca="false">IF(I113="","",I113-N(K113))</f>
        <v/>
      </c>
      <c r="N113" s="14" t="str">
        <f aca="true">IF(A113="","",IF(I113="",IF(E113&lt;&gt;"","To invoice","In progress"),IF(M113&lt;=0,"Paid",IF(TODAY()&gt;J113,"Overdue","Awaiting payment"))))</f>
        <v/>
      </c>
    </row>
    <row r="114" customFormat="false" ht="15" hidden="false" customHeight="false" outlineLevel="0" collapsed="false">
      <c r="A114" s="15"/>
      <c r="B114" s="15"/>
      <c r="C114" s="15"/>
      <c r="D114" s="16"/>
      <c r="E114" s="16"/>
      <c r="F114" s="17"/>
      <c r="G114" s="15"/>
      <c r="H114" s="16"/>
      <c r="I114" s="17"/>
      <c r="J114" s="12" t="str">
        <f aca="false">IF(H114="","",H114+Summary!$B$4)</f>
        <v/>
      </c>
      <c r="K114" s="17"/>
      <c r="L114" s="16"/>
      <c r="M114" s="13" t="str">
        <f aca="false">IF(I114="","",I114-N(K114))</f>
        <v/>
      </c>
      <c r="N114" s="14" t="str">
        <f aca="true">IF(A114="","",IF(I114="",IF(E114&lt;&gt;"","To invoice","In progress"),IF(M114&lt;=0,"Paid",IF(TODAY()&gt;J114,"Overdue","Awaiting payment"))))</f>
        <v/>
      </c>
    </row>
    <row r="115" customFormat="false" ht="15" hidden="false" customHeight="false" outlineLevel="0" collapsed="false">
      <c r="A115" s="15"/>
      <c r="B115" s="15"/>
      <c r="C115" s="15"/>
      <c r="D115" s="16"/>
      <c r="E115" s="16"/>
      <c r="F115" s="17"/>
      <c r="G115" s="15"/>
      <c r="H115" s="16"/>
      <c r="I115" s="17"/>
      <c r="J115" s="12" t="str">
        <f aca="false">IF(H115="","",H115+Summary!$B$4)</f>
        <v/>
      </c>
      <c r="K115" s="17"/>
      <c r="L115" s="16"/>
      <c r="M115" s="13" t="str">
        <f aca="false">IF(I115="","",I115-N(K115))</f>
        <v/>
      </c>
      <c r="N115" s="14" t="str">
        <f aca="true">IF(A115="","",IF(I115="",IF(E115&lt;&gt;"","To invoice","In progress"),IF(M115&lt;=0,"Paid",IF(TODAY()&gt;J115,"Overdue","Awaiting payment"))))</f>
        <v/>
      </c>
    </row>
    <row r="116" customFormat="false" ht="15" hidden="false" customHeight="false" outlineLevel="0" collapsed="false">
      <c r="A116" s="15"/>
      <c r="B116" s="15"/>
      <c r="C116" s="15"/>
      <c r="D116" s="16"/>
      <c r="E116" s="16"/>
      <c r="F116" s="17"/>
      <c r="G116" s="15"/>
      <c r="H116" s="16"/>
      <c r="I116" s="17"/>
      <c r="J116" s="12" t="str">
        <f aca="false">IF(H116="","",H116+Summary!$B$4)</f>
        <v/>
      </c>
      <c r="K116" s="17"/>
      <c r="L116" s="16"/>
      <c r="M116" s="13" t="str">
        <f aca="false">IF(I116="","",I116-N(K116))</f>
        <v/>
      </c>
      <c r="N116" s="14" t="str">
        <f aca="true">IF(A116="","",IF(I116="",IF(E116&lt;&gt;"","To invoice","In progress"),IF(M116&lt;=0,"Paid",IF(TODAY()&gt;J116,"Overdue","Awaiting payment"))))</f>
        <v/>
      </c>
    </row>
    <row r="117" customFormat="false" ht="15" hidden="false" customHeight="false" outlineLevel="0" collapsed="false">
      <c r="A117" s="15"/>
      <c r="B117" s="15"/>
      <c r="C117" s="15"/>
      <c r="D117" s="16"/>
      <c r="E117" s="16"/>
      <c r="F117" s="17"/>
      <c r="G117" s="15"/>
      <c r="H117" s="16"/>
      <c r="I117" s="17"/>
      <c r="J117" s="12" t="str">
        <f aca="false">IF(H117="","",H117+Summary!$B$4)</f>
        <v/>
      </c>
      <c r="K117" s="17"/>
      <c r="L117" s="16"/>
      <c r="M117" s="13" t="str">
        <f aca="false">IF(I117="","",I117-N(K117))</f>
        <v/>
      </c>
      <c r="N117" s="14" t="str">
        <f aca="true">IF(A117="","",IF(I117="",IF(E117&lt;&gt;"","To invoice","In progress"),IF(M117&lt;=0,"Paid",IF(TODAY()&gt;J117,"Overdue","Awaiting payment"))))</f>
        <v/>
      </c>
    </row>
    <row r="118" customFormat="false" ht="15" hidden="false" customHeight="false" outlineLevel="0" collapsed="false">
      <c r="A118" s="15"/>
      <c r="B118" s="15"/>
      <c r="C118" s="15"/>
      <c r="D118" s="16"/>
      <c r="E118" s="16"/>
      <c r="F118" s="17"/>
      <c r="G118" s="15"/>
      <c r="H118" s="16"/>
      <c r="I118" s="17"/>
      <c r="J118" s="12" t="str">
        <f aca="false">IF(H118="","",H118+Summary!$B$4)</f>
        <v/>
      </c>
      <c r="K118" s="17"/>
      <c r="L118" s="16"/>
      <c r="M118" s="13" t="str">
        <f aca="false">IF(I118="","",I118-N(K118))</f>
        <v/>
      </c>
      <c r="N118" s="14" t="str">
        <f aca="true">IF(A118="","",IF(I118="",IF(E118&lt;&gt;"","To invoice","In progress"),IF(M118&lt;=0,"Paid",IF(TODAY()&gt;J118,"Overdue","Awaiting payment"))))</f>
        <v/>
      </c>
    </row>
    <row r="119" customFormat="false" ht="15" hidden="false" customHeight="false" outlineLevel="0" collapsed="false">
      <c r="A119" s="15"/>
      <c r="B119" s="15"/>
      <c r="C119" s="15"/>
      <c r="D119" s="16"/>
      <c r="E119" s="16"/>
      <c r="F119" s="17"/>
      <c r="G119" s="15"/>
      <c r="H119" s="16"/>
      <c r="I119" s="17"/>
      <c r="J119" s="12" t="str">
        <f aca="false">IF(H119="","",H119+Summary!$B$4)</f>
        <v/>
      </c>
      <c r="K119" s="17"/>
      <c r="L119" s="16"/>
      <c r="M119" s="13" t="str">
        <f aca="false">IF(I119="","",I119-N(K119))</f>
        <v/>
      </c>
      <c r="N119" s="14" t="str">
        <f aca="true">IF(A119="","",IF(I119="",IF(E119&lt;&gt;"","To invoice","In progress"),IF(M119&lt;=0,"Paid",IF(TODAY()&gt;J119,"Overdue","Awaiting payment"))))</f>
        <v/>
      </c>
    </row>
    <row r="120" customFormat="false" ht="15" hidden="false" customHeight="false" outlineLevel="0" collapsed="false">
      <c r="A120" s="15"/>
      <c r="B120" s="15"/>
      <c r="C120" s="15"/>
      <c r="D120" s="16"/>
      <c r="E120" s="16"/>
      <c r="F120" s="17"/>
      <c r="G120" s="15"/>
      <c r="H120" s="16"/>
      <c r="I120" s="17"/>
      <c r="J120" s="12" t="str">
        <f aca="false">IF(H120="","",H120+Summary!$B$4)</f>
        <v/>
      </c>
      <c r="K120" s="17"/>
      <c r="L120" s="16"/>
      <c r="M120" s="13" t="str">
        <f aca="false">IF(I120="","",I120-N(K120))</f>
        <v/>
      </c>
      <c r="N120" s="14" t="str">
        <f aca="true">IF(A120="","",IF(I120="",IF(E120&lt;&gt;"","To invoice","In progress"),IF(M120&lt;=0,"Paid",IF(TODAY()&gt;J120,"Overdue","Awaiting payment"))))</f>
        <v/>
      </c>
    </row>
    <row r="121" customFormat="false" ht="15" hidden="false" customHeight="false" outlineLevel="0" collapsed="false">
      <c r="A121" s="15"/>
      <c r="B121" s="15"/>
      <c r="C121" s="15"/>
      <c r="D121" s="16"/>
      <c r="E121" s="16"/>
      <c r="F121" s="17"/>
      <c r="G121" s="15"/>
      <c r="H121" s="16"/>
      <c r="I121" s="17"/>
      <c r="J121" s="12" t="str">
        <f aca="false">IF(H121="","",H121+Summary!$B$4)</f>
        <v/>
      </c>
      <c r="K121" s="17"/>
      <c r="L121" s="16"/>
      <c r="M121" s="13" t="str">
        <f aca="false">IF(I121="","",I121-N(K121))</f>
        <v/>
      </c>
      <c r="N121" s="14" t="str">
        <f aca="true">IF(A121="","",IF(I121="",IF(E121&lt;&gt;"","To invoice","In progress"),IF(M121&lt;=0,"Paid",IF(TODAY()&gt;J121,"Overdue","Awaiting payment"))))</f>
        <v/>
      </c>
    </row>
    <row r="122" customFormat="false" ht="15" hidden="false" customHeight="false" outlineLevel="0" collapsed="false">
      <c r="A122" s="15"/>
      <c r="B122" s="15"/>
      <c r="C122" s="15"/>
      <c r="D122" s="16"/>
      <c r="E122" s="16"/>
      <c r="F122" s="17"/>
      <c r="G122" s="15"/>
      <c r="H122" s="16"/>
      <c r="I122" s="17"/>
      <c r="J122" s="12" t="str">
        <f aca="false">IF(H122="","",H122+Summary!$B$4)</f>
        <v/>
      </c>
      <c r="K122" s="17"/>
      <c r="L122" s="16"/>
      <c r="M122" s="13" t="str">
        <f aca="false">IF(I122="","",I122-N(K122))</f>
        <v/>
      </c>
      <c r="N122" s="14" t="str">
        <f aca="true">IF(A122="","",IF(I122="",IF(E122&lt;&gt;"","To invoice","In progress"),IF(M122&lt;=0,"Paid",IF(TODAY()&gt;J122,"Overdue","Awaiting payment"))))</f>
        <v/>
      </c>
    </row>
    <row r="123" customFormat="false" ht="15" hidden="false" customHeight="false" outlineLevel="0" collapsed="false">
      <c r="A123" s="15"/>
      <c r="B123" s="15"/>
      <c r="C123" s="15"/>
      <c r="D123" s="16"/>
      <c r="E123" s="16"/>
      <c r="F123" s="17"/>
      <c r="G123" s="15"/>
      <c r="H123" s="16"/>
      <c r="I123" s="17"/>
      <c r="J123" s="12" t="str">
        <f aca="false">IF(H123="","",H123+Summary!$B$4)</f>
        <v/>
      </c>
      <c r="K123" s="17"/>
      <c r="L123" s="16"/>
      <c r="M123" s="13" t="str">
        <f aca="false">IF(I123="","",I123-N(K123))</f>
        <v/>
      </c>
      <c r="N123" s="14" t="str">
        <f aca="true">IF(A123="","",IF(I123="",IF(E123&lt;&gt;"","To invoice","In progress"),IF(M123&lt;=0,"Paid",IF(TODAY()&gt;J123,"Overdue","Awaiting payment"))))</f>
        <v/>
      </c>
    </row>
    <row r="124" customFormat="false" ht="15" hidden="false" customHeight="false" outlineLevel="0" collapsed="false">
      <c r="A124" s="15"/>
      <c r="B124" s="15"/>
      <c r="C124" s="15"/>
      <c r="D124" s="16"/>
      <c r="E124" s="16"/>
      <c r="F124" s="17"/>
      <c r="G124" s="15"/>
      <c r="H124" s="16"/>
      <c r="I124" s="17"/>
      <c r="J124" s="12" t="str">
        <f aca="false">IF(H124="","",H124+Summary!$B$4)</f>
        <v/>
      </c>
      <c r="K124" s="17"/>
      <c r="L124" s="16"/>
      <c r="M124" s="13" t="str">
        <f aca="false">IF(I124="","",I124-N(K124))</f>
        <v/>
      </c>
      <c r="N124" s="14" t="str">
        <f aca="true">IF(A124="","",IF(I124="",IF(E124&lt;&gt;"","To invoice","In progress"),IF(M124&lt;=0,"Paid",IF(TODAY()&gt;J124,"Overdue","Awaiting payment"))))</f>
        <v/>
      </c>
    </row>
    <row r="125" customFormat="false" ht="15" hidden="false" customHeight="false" outlineLevel="0" collapsed="false">
      <c r="A125" s="15"/>
      <c r="B125" s="15"/>
      <c r="C125" s="15"/>
      <c r="D125" s="16"/>
      <c r="E125" s="16"/>
      <c r="F125" s="17"/>
      <c r="G125" s="15"/>
      <c r="H125" s="16"/>
      <c r="I125" s="17"/>
      <c r="J125" s="12" t="str">
        <f aca="false">IF(H125="","",H125+Summary!$B$4)</f>
        <v/>
      </c>
      <c r="K125" s="17"/>
      <c r="L125" s="16"/>
      <c r="M125" s="13" t="str">
        <f aca="false">IF(I125="","",I125-N(K125))</f>
        <v/>
      </c>
      <c r="N125" s="14" t="str">
        <f aca="true">IF(A125="","",IF(I125="",IF(E125&lt;&gt;"","To invoice","In progress"),IF(M125&lt;=0,"Paid",IF(TODAY()&gt;J125,"Overdue","Awaiting payment"))))</f>
        <v/>
      </c>
    </row>
    <row r="126" customFormat="false" ht="15" hidden="false" customHeight="false" outlineLevel="0" collapsed="false">
      <c r="A126" s="15"/>
      <c r="B126" s="15"/>
      <c r="C126" s="15"/>
      <c r="D126" s="16"/>
      <c r="E126" s="16"/>
      <c r="F126" s="17"/>
      <c r="G126" s="15"/>
      <c r="H126" s="16"/>
      <c r="I126" s="17"/>
      <c r="J126" s="12" t="str">
        <f aca="false">IF(H126="","",H126+Summary!$B$4)</f>
        <v/>
      </c>
      <c r="K126" s="17"/>
      <c r="L126" s="16"/>
      <c r="M126" s="13" t="str">
        <f aca="false">IF(I126="","",I126-N(K126))</f>
        <v/>
      </c>
      <c r="N126" s="14" t="str">
        <f aca="true">IF(A126="","",IF(I126="",IF(E126&lt;&gt;"","To invoice","In progress"),IF(M126&lt;=0,"Paid",IF(TODAY()&gt;J126,"Overdue","Awaiting payment"))))</f>
        <v/>
      </c>
    </row>
    <row r="127" customFormat="false" ht="15" hidden="false" customHeight="false" outlineLevel="0" collapsed="false">
      <c r="A127" s="15"/>
      <c r="B127" s="15"/>
      <c r="C127" s="15"/>
      <c r="D127" s="16"/>
      <c r="E127" s="16"/>
      <c r="F127" s="17"/>
      <c r="G127" s="15"/>
      <c r="H127" s="16"/>
      <c r="I127" s="17"/>
      <c r="J127" s="12" t="str">
        <f aca="false">IF(H127="","",H127+Summary!$B$4)</f>
        <v/>
      </c>
      <c r="K127" s="17"/>
      <c r="L127" s="16"/>
      <c r="M127" s="13" t="str">
        <f aca="false">IF(I127="","",I127-N(K127))</f>
        <v/>
      </c>
      <c r="N127" s="14" t="str">
        <f aca="true">IF(A127="","",IF(I127="",IF(E127&lt;&gt;"","To invoice","In progress"),IF(M127&lt;=0,"Paid",IF(TODAY()&gt;J127,"Overdue","Awaiting payment"))))</f>
        <v/>
      </c>
    </row>
    <row r="128" customFormat="false" ht="15" hidden="false" customHeight="false" outlineLevel="0" collapsed="false">
      <c r="A128" s="15"/>
      <c r="B128" s="15"/>
      <c r="C128" s="15"/>
      <c r="D128" s="16"/>
      <c r="E128" s="16"/>
      <c r="F128" s="17"/>
      <c r="G128" s="15"/>
      <c r="H128" s="16"/>
      <c r="I128" s="17"/>
      <c r="J128" s="12" t="str">
        <f aca="false">IF(H128="","",H128+Summary!$B$4)</f>
        <v/>
      </c>
      <c r="K128" s="17"/>
      <c r="L128" s="16"/>
      <c r="M128" s="13" t="str">
        <f aca="false">IF(I128="","",I128-N(K128))</f>
        <v/>
      </c>
      <c r="N128" s="14" t="str">
        <f aca="true">IF(A128="","",IF(I128="",IF(E128&lt;&gt;"","To invoice","In progress"),IF(M128&lt;=0,"Paid",IF(TODAY()&gt;J128,"Overdue","Awaiting payment"))))</f>
        <v/>
      </c>
    </row>
    <row r="129" customFormat="false" ht="15" hidden="false" customHeight="false" outlineLevel="0" collapsed="false">
      <c r="A129" s="15"/>
      <c r="B129" s="15"/>
      <c r="C129" s="15"/>
      <c r="D129" s="16"/>
      <c r="E129" s="16"/>
      <c r="F129" s="17"/>
      <c r="G129" s="15"/>
      <c r="H129" s="16"/>
      <c r="I129" s="17"/>
      <c r="J129" s="12" t="str">
        <f aca="false">IF(H129="","",H129+Summary!$B$4)</f>
        <v/>
      </c>
      <c r="K129" s="17"/>
      <c r="L129" s="16"/>
      <c r="M129" s="13" t="str">
        <f aca="false">IF(I129="","",I129-N(K129))</f>
        <v/>
      </c>
      <c r="N129" s="14" t="str">
        <f aca="true">IF(A129="","",IF(I129="",IF(E129&lt;&gt;"","To invoice","In progress"),IF(M129&lt;=0,"Paid",IF(TODAY()&gt;J129,"Overdue","Awaiting payment"))))</f>
        <v/>
      </c>
    </row>
    <row r="130" customFormat="false" ht="15" hidden="false" customHeight="false" outlineLevel="0" collapsed="false">
      <c r="A130" s="15"/>
      <c r="B130" s="15"/>
      <c r="C130" s="15"/>
      <c r="D130" s="16"/>
      <c r="E130" s="16"/>
      <c r="F130" s="17"/>
      <c r="G130" s="15"/>
      <c r="H130" s="16"/>
      <c r="I130" s="17"/>
      <c r="J130" s="12" t="str">
        <f aca="false">IF(H130="","",H130+Summary!$B$4)</f>
        <v/>
      </c>
      <c r="K130" s="17"/>
      <c r="L130" s="16"/>
      <c r="M130" s="13" t="str">
        <f aca="false">IF(I130="","",I130-N(K130))</f>
        <v/>
      </c>
      <c r="N130" s="14" t="str">
        <f aca="true">IF(A130="","",IF(I130="",IF(E130&lt;&gt;"","To invoice","In progress"),IF(M130&lt;=0,"Paid",IF(TODAY()&gt;J130,"Overdue","Awaiting payment"))))</f>
        <v/>
      </c>
    </row>
    <row r="131" customFormat="false" ht="15" hidden="false" customHeight="false" outlineLevel="0" collapsed="false">
      <c r="A131" s="15"/>
      <c r="B131" s="15"/>
      <c r="C131" s="15"/>
      <c r="D131" s="16"/>
      <c r="E131" s="16"/>
      <c r="F131" s="17"/>
      <c r="G131" s="15"/>
      <c r="H131" s="16"/>
      <c r="I131" s="17"/>
      <c r="J131" s="12" t="str">
        <f aca="false">IF(H131="","",H131+Summary!$B$4)</f>
        <v/>
      </c>
      <c r="K131" s="17"/>
      <c r="L131" s="16"/>
      <c r="M131" s="13" t="str">
        <f aca="false">IF(I131="","",I131-N(K131))</f>
        <v/>
      </c>
      <c r="N131" s="14" t="str">
        <f aca="true">IF(A131="","",IF(I131="",IF(E131&lt;&gt;"","To invoice","In progress"),IF(M131&lt;=0,"Paid",IF(TODAY()&gt;J131,"Overdue","Awaiting payment"))))</f>
        <v/>
      </c>
    </row>
    <row r="132" customFormat="false" ht="15" hidden="false" customHeight="false" outlineLevel="0" collapsed="false">
      <c r="A132" s="15"/>
      <c r="B132" s="15"/>
      <c r="C132" s="15"/>
      <c r="D132" s="16"/>
      <c r="E132" s="16"/>
      <c r="F132" s="17"/>
      <c r="G132" s="15"/>
      <c r="H132" s="16"/>
      <c r="I132" s="17"/>
      <c r="J132" s="12" t="str">
        <f aca="false">IF(H132="","",H132+Summary!$B$4)</f>
        <v/>
      </c>
      <c r="K132" s="17"/>
      <c r="L132" s="16"/>
      <c r="M132" s="13" t="str">
        <f aca="false">IF(I132="","",I132-N(K132))</f>
        <v/>
      </c>
      <c r="N132" s="14" t="str">
        <f aca="true">IF(A132="","",IF(I132="",IF(E132&lt;&gt;"","To invoice","In progress"),IF(M132&lt;=0,"Paid",IF(TODAY()&gt;J132,"Overdue","Awaiting payment"))))</f>
        <v/>
      </c>
    </row>
    <row r="133" customFormat="false" ht="15" hidden="false" customHeight="false" outlineLevel="0" collapsed="false">
      <c r="A133" s="15"/>
      <c r="B133" s="15"/>
      <c r="C133" s="15"/>
      <c r="D133" s="16"/>
      <c r="E133" s="16"/>
      <c r="F133" s="17"/>
      <c r="G133" s="15"/>
      <c r="H133" s="16"/>
      <c r="I133" s="17"/>
      <c r="J133" s="12" t="str">
        <f aca="false">IF(H133="","",H133+Summary!$B$4)</f>
        <v/>
      </c>
      <c r="K133" s="17"/>
      <c r="L133" s="16"/>
      <c r="M133" s="13" t="str">
        <f aca="false">IF(I133="","",I133-N(K133))</f>
        <v/>
      </c>
      <c r="N133" s="14" t="str">
        <f aca="true">IF(A133="","",IF(I133="",IF(E133&lt;&gt;"","To invoice","In progress"),IF(M133&lt;=0,"Paid",IF(TODAY()&gt;J133,"Overdue","Awaiting payment"))))</f>
        <v/>
      </c>
    </row>
    <row r="134" customFormat="false" ht="15" hidden="false" customHeight="false" outlineLevel="0" collapsed="false">
      <c r="A134" s="15"/>
      <c r="B134" s="15"/>
      <c r="C134" s="15"/>
      <c r="D134" s="16"/>
      <c r="E134" s="16"/>
      <c r="F134" s="17"/>
      <c r="G134" s="15"/>
      <c r="H134" s="16"/>
      <c r="I134" s="17"/>
      <c r="J134" s="12" t="str">
        <f aca="false">IF(H134="","",H134+Summary!$B$4)</f>
        <v/>
      </c>
      <c r="K134" s="17"/>
      <c r="L134" s="16"/>
      <c r="M134" s="13" t="str">
        <f aca="false">IF(I134="","",I134-N(K134))</f>
        <v/>
      </c>
      <c r="N134" s="14" t="str">
        <f aca="true">IF(A134="","",IF(I134="",IF(E134&lt;&gt;"","To invoice","In progress"),IF(M134&lt;=0,"Paid",IF(TODAY()&gt;J134,"Overdue","Awaiting payment"))))</f>
        <v/>
      </c>
    </row>
    <row r="135" customFormat="false" ht="15" hidden="false" customHeight="false" outlineLevel="0" collapsed="false">
      <c r="A135" s="15"/>
      <c r="B135" s="15"/>
      <c r="C135" s="15"/>
      <c r="D135" s="16"/>
      <c r="E135" s="16"/>
      <c r="F135" s="17"/>
      <c r="G135" s="15"/>
      <c r="H135" s="16"/>
      <c r="I135" s="17"/>
      <c r="J135" s="12" t="str">
        <f aca="false">IF(H135="","",H135+Summary!$B$4)</f>
        <v/>
      </c>
      <c r="K135" s="17"/>
      <c r="L135" s="16"/>
      <c r="M135" s="13" t="str">
        <f aca="false">IF(I135="","",I135-N(K135))</f>
        <v/>
      </c>
      <c r="N135" s="14" t="str">
        <f aca="true">IF(A135="","",IF(I135="",IF(E135&lt;&gt;"","To invoice","In progress"),IF(M135&lt;=0,"Paid",IF(TODAY()&gt;J135,"Overdue","Awaiting payment"))))</f>
        <v/>
      </c>
    </row>
    <row r="136" customFormat="false" ht="15" hidden="false" customHeight="false" outlineLevel="0" collapsed="false">
      <c r="A136" s="15"/>
      <c r="B136" s="15"/>
      <c r="C136" s="15"/>
      <c r="D136" s="16"/>
      <c r="E136" s="16"/>
      <c r="F136" s="17"/>
      <c r="G136" s="15"/>
      <c r="H136" s="16"/>
      <c r="I136" s="17"/>
      <c r="J136" s="12" t="str">
        <f aca="false">IF(H136="","",H136+Summary!$B$4)</f>
        <v/>
      </c>
      <c r="K136" s="17"/>
      <c r="L136" s="16"/>
      <c r="M136" s="13" t="str">
        <f aca="false">IF(I136="","",I136-N(K136))</f>
        <v/>
      </c>
      <c r="N136" s="14" t="str">
        <f aca="true">IF(A136="","",IF(I136="",IF(E136&lt;&gt;"","To invoice","In progress"),IF(M136&lt;=0,"Paid",IF(TODAY()&gt;J136,"Overdue","Awaiting payment"))))</f>
        <v/>
      </c>
    </row>
    <row r="137" customFormat="false" ht="15" hidden="false" customHeight="false" outlineLevel="0" collapsed="false">
      <c r="A137" s="15"/>
      <c r="B137" s="15"/>
      <c r="C137" s="15"/>
      <c r="D137" s="16"/>
      <c r="E137" s="16"/>
      <c r="F137" s="17"/>
      <c r="G137" s="15"/>
      <c r="H137" s="16"/>
      <c r="I137" s="17"/>
      <c r="J137" s="12" t="str">
        <f aca="false">IF(H137="","",H137+Summary!$B$4)</f>
        <v/>
      </c>
      <c r="K137" s="17"/>
      <c r="L137" s="16"/>
      <c r="M137" s="13" t="str">
        <f aca="false">IF(I137="","",I137-N(K137))</f>
        <v/>
      </c>
      <c r="N137" s="14" t="str">
        <f aca="true">IF(A137="","",IF(I137="",IF(E137&lt;&gt;"","To invoice","In progress"),IF(M137&lt;=0,"Paid",IF(TODAY()&gt;J137,"Overdue","Awaiting payment"))))</f>
        <v/>
      </c>
    </row>
    <row r="138" customFormat="false" ht="15" hidden="false" customHeight="false" outlineLevel="0" collapsed="false">
      <c r="A138" s="15"/>
      <c r="B138" s="15"/>
      <c r="C138" s="15"/>
      <c r="D138" s="16"/>
      <c r="E138" s="16"/>
      <c r="F138" s="17"/>
      <c r="G138" s="15"/>
      <c r="H138" s="16"/>
      <c r="I138" s="17"/>
      <c r="J138" s="12" t="str">
        <f aca="false">IF(H138="","",H138+Summary!$B$4)</f>
        <v/>
      </c>
      <c r="K138" s="17"/>
      <c r="L138" s="16"/>
      <c r="M138" s="13" t="str">
        <f aca="false">IF(I138="","",I138-N(K138))</f>
        <v/>
      </c>
      <c r="N138" s="14" t="str">
        <f aca="true">IF(A138="","",IF(I138="",IF(E138&lt;&gt;"","To invoice","In progress"),IF(M138&lt;=0,"Paid",IF(TODAY()&gt;J138,"Overdue","Awaiting payment"))))</f>
        <v/>
      </c>
    </row>
    <row r="139" customFormat="false" ht="15" hidden="false" customHeight="false" outlineLevel="0" collapsed="false">
      <c r="A139" s="15"/>
      <c r="B139" s="15"/>
      <c r="C139" s="15"/>
      <c r="D139" s="16"/>
      <c r="E139" s="16"/>
      <c r="F139" s="17"/>
      <c r="G139" s="15"/>
      <c r="H139" s="16"/>
      <c r="I139" s="17"/>
      <c r="J139" s="12" t="str">
        <f aca="false">IF(H139="","",H139+Summary!$B$4)</f>
        <v/>
      </c>
      <c r="K139" s="17"/>
      <c r="L139" s="16"/>
      <c r="M139" s="13" t="str">
        <f aca="false">IF(I139="","",I139-N(K139))</f>
        <v/>
      </c>
      <c r="N139" s="14" t="str">
        <f aca="true">IF(A139="","",IF(I139="",IF(E139&lt;&gt;"","To invoice","In progress"),IF(M139&lt;=0,"Paid",IF(TODAY()&gt;J139,"Overdue","Awaiting payment"))))</f>
        <v/>
      </c>
    </row>
    <row r="140" customFormat="false" ht="15" hidden="false" customHeight="false" outlineLevel="0" collapsed="false">
      <c r="A140" s="15"/>
      <c r="B140" s="15"/>
      <c r="C140" s="15"/>
      <c r="D140" s="16"/>
      <c r="E140" s="16"/>
      <c r="F140" s="17"/>
      <c r="G140" s="15"/>
      <c r="H140" s="16"/>
      <c r="I140" s="17"/>
      <c r="J140" s="12" t="str">
        <f aca="false">IF(H140="","",H140+Summary!$B$4)</f>
        <v/>
      </c>
      <c r="K140" s="17"/>
      <c r="L140" s="16"/>
      <c r="M140" s="13" t="str">
        <f aca="false">IF(I140="","",I140-N(K140))</f>
        <v/>
      </c>
      <c r="N140" s="14" t="str">
        <f aca="true">IF(A140="","",IF(I140="",IF(E140&lt;&gt;"","To invoice","In progress"),IF(M140&lt;=0,"Paid",IF(TODAY()&gt;J140,"Overdue","Awaiting payment"))))</f>
        <v/>
      </c>
    </row>
    <row r="141" customFormat="false" ht="15" hidden="false" customHeight="false" outlineLevel="0" collapsed="false">
      <c r="A141" s="15"/>
      <c r="B141" s="15"/>
      <c r="C141" s="15"/>
      <c r="D141" s="16"/>
      <c r="E141" s="16"/>
      <c r="F141" s="17"/>
      <c r="G141" s="15"/>
      <c r="H141" s="16"/>
      <c r="I141" s="17"/>
      <c r="J141" s="12" t="str">
        <f aca="false">IF(H141="","",H141+Summary!$B$4)</f>
        <v/>
      </c>
      <c r="K141" s="17"/>
      <c r="L141" s="16"/>
      <c r="M141" s="13" t="str">
        <f aca="false">IF(I141="","",I141-N(K141))</f>
        <v/>
      </c>
      <c r="N141" s="14" t="str">
        <f aca="true">IF(A141="","",IF(I141="",IF(E141&lt;&gt;"","To invoice","In progress"),IF(M141&lt;=0,"Paid",IF(TODAY()&gt;J141,"Overdue","Awaiting payment"))))</f>
        <v/>
      </c>
    </row>
    <row r="142" customFormat="false" ht="15" hidden="false" customHeight="false" outlineLevel="0" collapsed="false">
      <c r="A142" s="15"/>
      <c r="B142" s="15"/>
      <c r="C142" s="15"/>
      <c r="D142" s="16"/>
      <c r="E142" s="16"/>
      <c r="F142" s="17"/>
      <c r="G142" s="15"/>
      <c r="H142" s="16"/>
      <c r="I142" s="17"/>
      <c r="J142" s="12" t="str">
        <f aca="false">IF(H142="","",H142+Summary!$B$4)</f>
        <v/>
      </c>
      <c r="K142" s="17"/>
      <c r="L142" s="16"/>
      <c r="M142" s="13" t="str">
        <f aca="false">IF(I142="","",I142-N(K142))</f>
        <v/>
      </c>
      <c r="N142" s="14" t="str">
        <f aca="true">IF(A142="","",IF(I142="",IF(E142&lt;&gt;"","To invoice","In progress"),IF(M142&lt;=0,"Paid",IF(TODAY()&gt;J142,"Overdue","Awaiting payment"))))</f>
        <v/>
      </c>
    </row>
    <row r="143" customFormat="false" ht="15" hidden="false" customHeight="false" outlineLevel="0" collapsed="false">
      <c r="A143" s="15"/>
      <c r="B143" s="15"/>
      <c r="C143" s="15"/>
      <c r="D143" s="16"/>
      <c r="E143" s="16"/>
      <c r="F143" s="17"/>
      <c r="G143" s="15"/>
      <c r="H143" s="16"/>
      <c r="I143" s="17"/>
      <c r="J143" s="12" t="str">
        <f aca="false">IF(H143="","",H143+Summary!$B$4)</f>
        <v/>
      </c>
      <c r="K143" s="17"/>
      <c r="L143" s="16"/>
      <c r="M143" s="13" t="str">
        <f aca="false">IF(I143="","",I143-N(K143))</f>
        <v/>
      </c>
      <c r="N143" s="14" t="str">
        <f aca="true">IF(A143="","",IF(I143="",IF(E143&lt;&gt;"","To invoice","In progress"),IF(M143&lt;=0,"Paid",IF(TODAY()&gt;J143,"Overdue","Awaiting payment"))))</f>
        <v/>
      </c>
    </row>
    <row r="144" customFormat="false" ht="15" hidden="false" customHeight="false" outlineLevel="0" collapsed="false">
      <c r="A144" s="15"/>
      <c r="B144" s="15"/>
      <c r="C144" s="15"/>
      <c r="D144" s="16"/>
      <c r="E144" s="16"/>
      <c r="F144" s="17"/>
      <c r="G144" s="15"/>
      <c r="H144" s="16"/>
      <c r="I144" s="17"/>
      <c r="J144" s="12" t="str">
        <f aca="false">IF(H144="","",H144+Summary!$B$4)</f>
        <v/>
      </c>
      <c r="K144" s="17"/>
      <c r="L144" s="16"/>
      <c r="M144" s="13" t="str">
        <f aca="false">IF(I144="","",I144-N(K144))</f>
        <v/>
      </c>
      <c r="N144" s="14" t="str">
        <f aca="true">IF(A144="","",IF(I144="",IF(E144&lt;&gt;"","To invoice","In progress"),IF(M144&lt;=0,"Paid",IF(TODAY()&gt;J144,"Overdue","Awaiting payment"))))</f>
        <v/>
      </c>
    </row>
    <row r="145" customFormat="false" ht="15" hidden="false" customHeight="false" outlineLevel="0" collapsed="false">
      <c r="A145" s="15"/>
      <c r="B145" s="15"/>
      <c r="C145" s="15"/>
      <c r="D145" s="16"/>
      <c r="E145" s="16"/>
      <c r="F145" s="17"/>
      <c r="G145" s="15"/>
      <c r="H145" s="16"/>
      <c r="I145" s="17"/>
      <c r="J145" s="12" t="str">
        <f aca="false">IF(H145="","",H145+Summary!$B$4)</f>
        <v/>
      </c>
      <c r="K145" s="17"/>
      <c r="L145" s="16"/>
      <c r="M145" s="13" t="str">
        <f aca="false">IF(I145="","",I145-N(K145))</f>
        <v/>
      </c>
      <c r="N145" s="14" t="str">
        <f aca="true">IF(A145="","",IF(I145="",IF(E145&lt;&gt;"","To invoice","In progress"),IF(M145&lt;=0,"Paid",IF(TODAY()&gt;J145,"Overdue","Awaiting payment"))))</f>
        <v/>
      </c>
    </row>
    <row r="146" customFormat="false" ht="15" hidden="false" customHeight="false" outlineLevel="0" collapsed="false">
      <c r="A146" s="15"/>
      <c r="B146" s="15"/>
      <c r="C146" s="15"/>
      <c r="D146" s="16"/>
      <c r="E146" s="16"/>
      <c r="F146" s="17"/>
      <c r="G146" s="15"/>
      <c r="H146" s="16"/>
      <c r="I146" s="17"/>
      <c r="J146" s="12" t="str">
        <f aca="false">IF(H146="","",H146+Summary!$B$4)</f>
        <v/>
      </c>
      <c r="K146" s="17"/>
      <c r="L146" s="16"/>
      <c r="M146" s="13" t="str">
        <f aca="false">IF(I146="","",I146-N(K146))</f>
        <v/>
      </c>
      <c r="N146" s="14" t="str">
        <f aca="true">IF(A146="","",IF(I146="",IF(E146&lt;&gt;"","To invoice","In progress"),IF(M146&lt;=0,"Paid",IF(TODAY()&gt;J146,"Overdue","Awaiting payment"))))</f>
        <v/>
      </c>
    </row>
    <row r="147" customFormat="false" ht="15" hidden="false" customHeight="false" outlineLevel="0" collapsed="false">
      <c r="A147" s="15"/>
      <c r="B147" s="15"/>
      <c r="C147" s="15"/>
      <c r="D147" s="16"/>
      <c r="E147" s="16"/>
      <c r="F147" s="17"/>
      <c r="G147" s="15"/>
      <c r="H147" s="16"/>
      <c r="I147" s="17"/>
      <c r="J147" s="12" t="str">
        <f aca="false">IF(H147="","",H147+Summary!$B$4)</f>
        <v/>
      </c>
      <c r="K147" s="17"/>
      <c r="L147" s="16"/>
      <c r="M147" s="13" t="str">
        <f aca="false">IF(I147="","",I147-N(K147))</f>
        <v/>
      </c>
      <c r="N147" s="14" t="str">
        <f aca="true">IF(A147="","",IF(I147="",IF(E147&lt;&gt;"","To invoice","In progress"),IF(M147&lt;=0,"Paid",IF(TODAY()&gt;J147,"Overdue","Awaiting payment"))))</f>
        <v/>
      </c>
    </row>
    <row r="148" customFormat="false" ht="15" hidden="false" customHeight="false" outlineLevel="0" collapsed="false">
      <c r="A148" s="15"/>
      <c r="B148" s="15"/>
      <c r="C148" s="15"/>
      <c r="D148" s="16"/>
      <c r="E148" s="16"/>
      <c r="F148" s="17"/>
      <c r="G148" s="15"/>
      <c r="H148" s="16"/>
      <c r="I148" s="17"/>
      <c r="J148" s="12" t="str">
        <f aca="false">IF(H148="","",H148+Summary!$B$4)</f>
        <v/>
      </c>
      <c r="K148" s="17"/>
      <c r="L148" s="16"/>
      <c r="M148" s="13" t="str">
        <f aca="false">IF(I148="","",I148-N(K148))</f>
        <v/>
      </c>
      <c r="N148" s="14" t="str">
        <f aca="true">IF(A148="","",IF(I148="",IF(E148&lt;&gt;"","To invoice","In progress"),IF(M148&lt;=0,"Paid",IF(TODAY()&gt;J148,"Overdue","Awaiting payment"))))</f>
        <v/>
      </c>
    </row>
    <row r="149" customFormat="false" ht="15" hidden="false" customHeight="false" outlineLevel="0" collapsed="false">
      <c r="A149" s="15"/>
      <c r="B149" s="15"/>
      <c r="C149" s="15"/>
      <c r="D149" s="16"/>
      <c r="E149" s="16"/>
      <c r="F149" s="17"/>
      <c r="G149" s="15"/>
      <c r="H149" s="16"/>
      <c r="I149" s="17"/>
      <c r="J149" s="12" t="str">
        <f aca="false">IF(H149="","",H149+Summary!$B$4)</f>
        <v/>
      </c>
      <c r="K149" s="17"/>
      <c r="L149" s="16"/>
      <c r="M149" s="13" t="str">
        <f aca="false">IF(I149="","",I149-N(K149))</f>
        <v/>
      </c>
      <c r="N149" s="14" t="str">
        <f aca="true">IF(A149="","",IF(I149="",IF(E149&lt;&gt;"","To invoice","In progress"),IF(M149&lt;=0,"Paid",IF(TODAY()&gt;J149,"Overdue","Awaiting payment"))))</f>
        <v/>
      </c>
    </row>
    <row r="150" customFormat="false" ht="15" hidden="false" customHeight="false" outlineLevel="0" collapsed="false">
      <c r="A150" s="15"/>
      <c r="B150" s="15"/>
      <c r="C150" s="15"/>
      <c r="D150" s="16"/>
      <c r="E150" s="16"/>
      <c r="F150" s="17"/>
      <c r="G150" s="15"/>
      <c r="H150" s="16"/>
      <c r="I150" s="17"/>
      <c r="J150" s="12" t="str">
        <f aca="false">IF(H150="","",H150+Summary!$B$4)</f>
        <v/>
      </c>
      <c r="K150" s="17"/>
      <c r="L150" s="16"/>
      <c r="M150" s="13" t="str">
        <f aca="false">IF(I150="","",I150-N(K150))</f>
        <v/>
      </c>
      <c r="N150" s="14" t="str">
        <f aca="true">IF(A150="","",IF(I150="",IF(E150&lt;&gt;"","To invoice","In progress"),IF(M150&lt;=0,"Paid",IF(TODAY()&gt;J150,"Overdue","Awaiting payment"))))</f>
        <v/>
      </c>
    </row>
    <row r="151" customFormat="false" ht="15" hidden="false" customHeight="false" outlineLevel="0" collapsed="false">
      <c r="A151" s="15"/>
      <c r="B151" s="15"/>
      <c r="C151" s="15"/>
      <c r="D151" s="16"/>
      <c r="E151" s="16"/>
      <c r="F151" s="17"/>
      <c r="G151" s="15"/>
      <c r="H151" s="16"/>
      <c r="I151" s="17"/>
      <c r="J151" s="12" t="str">
        <f aca="false">IF(H151="","",H151+Summary!$B$4)</f>
        <v/>
      </c>
      <c r="K151" s="17"/>
      <c r="L151" s="16"/>
      <c r="M151" s="13" t="str">
        <f aca="false">IF(I151="","",I151-N(K151))</f>
        <v/>
      </c>
      <c r="N151" s="14" t="str">
        <f aca="true">IF(A151="","",IF(I151="",IF(E151&lt;&gt;"","To invoice","In progress"),IF(M151&lt;=0,"Paid",IF(TODAY()&gt;J151,"Overdue","Awaiting payment"))))</f>
        <v/>
      </c>
    </row>
    <row r="152" customFormat="false" ht="15" hidden="false" customHeight="false" outlineLevel="0" collapsed="false">
      <c r="A152" s="15"/>
      <c r="B152" s="15"/>
      <c r="C152" s="15"/>
      <c r="D152" s="16"/>
      <c r="E152" s="16"/>
      <c r="F152" s="17"/>
      <c r="G152" s="15"/>
      <c r="H152" s="16"/>
      <c r="I152" s="17"/>
      <c r="J152" s="12" t="str">
        <f aca="false">IF(H152="","",H152+Summary!$B$4)</f>
        <v/>
      </c>
      <c r="K152" s="17"/>
      <c r="L152" s="16"/>
      <c r="M152" s="13" t="str">
        <f aca="false">IF(I152="","",I152-N(K152))</f>
        <v/>
      </c>
      <c r="N152" s="14" t="str">
        <f aca="true">IF(A152="","",IF(I152="",IF(E152&lt;&gt;"","To invoice","In progress"),IF(M152&lt;=0,"Paid",IF(TODAY()&gt;J152,"Overdue","Awaiting payment"))))</f>
        <v/>
      </c>
    </row>
    <row r="153" customFormat="false" ht="15" hidden="false" customHeight="false" outlineLevel="0" collapsed="false">
      <c r="A153" s="15"/>
      <c r="B153" s="15"/>
      <c r="C153" s="15"/>
      <c r="D153" s="16"/>
      <c r="E153" s="16"/>
      <c r="F153" s="17"/>
      <c r="G153" s="15"/>
      <c r="H153" s="16"/>
      <c r="I153" s="17"/>
      <c r="J153" s="12" t="str">
        <f aca="false">IF(H153="","",H153+Summary!$B$4)</f>
        <v/>
      </c>
      <c r="K153" s="17"/>
      <c r="L153" s="16"/>
      <c r="M153" s="13" t="str">
        <f aca="false">IF(I153="","",I153-N(K153))</f>
        <v/>
      </c>
      <c r="N153" s="14" t="str">
        <f aca="true">IF(A153="","",IF(I153="",IF(E153&lt;&gt;"","To invoice","In progress"),IF(M153&lt;=0,"Paid",IF(TODAY()&gt;J153,"Overdue","Awaiting payment"))))</f>
        <v/>
      </c>
    </row>
    <row r="154" customFormat="false" ht="15" hidden="false" customHeight="false" outlineLevel="0" collapsed="false">
      <c r="A154" s="15"/>
      <c r="B154" s="15"/>
      <c r="C154" s="15"/>
      <c r="D154" s="16"/>
      <c r="E154" s="16"/>
      <c r="F154" s="17"/>
      <c r="G154" s="15"/>
      <c r="H154" s="16"/>
      <c r="I154" s="17"/>
      <c r="J154" s="12" t="str">
        <f aca="false">IF(H154="","",H154+Summary!$B$4)</f>
        <v/>
      </c>
      <c r="K154" s="17"/>
      <c r="L154" s="16"/>
      <c r="M154" s="13" t="str">
        <f aca="false">IF(I154="","",I154-N(K154))</f>
        <v/>
      </c>
      <c r="N154" s="14" t="str">
        <f aca="true">IF(A154="","",IF(I154="",IF(E154&lt;&gt;"","To invoice","In progress"),IF(M154&lt;=0,"Paid",IF(TODAY()&gt;J154,"Overdue","Awaiting payment"))))</f>
        <v/>
      </c>
    </row>
    <row r="155" customFormat="false" ht="15" hidden="false" customHeight="false" outlineLevel="0" collapsed="false">
      <c r="A155" s="15"/>
      <c r="B155" s="15"/>
      <c r="C155" s="15"/>
      <c r="D155" s="16"/>
      <c r="E155" s="16"/>
      <c r="F155" s="17"/>
      <c r="G155" s="15"/>
      <c r="H155" s="16"/>
      <c r="I155" s="17"/>
      <c r="J155" s="12" t="str">
        <f aca="false">IF(H155="","",H155+Summary!$B$4)</f>
        <v/>
      </c>
      <c r="K155" s="17"/>
      <c r="L155" s="16"/>
      <c r="M155" s="13" t="str">
        <f aca="false">IF(I155="","",I155-N(K155))</f>
        <v/>
      </c>
      <c r="N155" s="14" t="str">
        <f aca="true">IF(A155="","",IF(I155="",IF(E155&lt;&gt;"","To invoice","In progress"),IF(M155&lt;=0,"Paid",IF(TODAY()&gt;J155,"Overdue","Awaiting payment"))))</f>
        <v/>
      </c>
    </row>
    <row r="156" customFormat="false" ht="15" hidden="false" customHeight="false" outlineLevel="0" collapsed="false">
      <c r="A156" s="15"/>
      <c r="B156" s="15"/>
      <c r="C156" s="15"/>
      <c r="D156" s="16"/>
      <c r="E156" s="16"/>
      <c r="F156" s="17"/>
      <c r="G156" s="15"/>
      <c r="H156" s="16"/>
      <c r="I156" s="17"/>
      <c r="J156" s="12" t="str">
        <f aca="false">IF(H156="","",H156+Summary!$B$4)</f>
        <v/>
      </c>
      <c r="K156" s="17"/>
      <c r="L156" s="16"/>
      <c r="M156" s="13" t="str">
        <f aca="false">IF(I156="","",I156-N(K156))</f>
        <v/>
      </c>
      <c r="N156" s="14" t="str">
        <f aca="true">IF(A156="","",IF(I156="",IF(E156&lt;&gt;"","To invoice","In progress"),IF(M156&lt;=0,"Paid",IF(TODAY()&gt;J156,"Overdue","Awaiting payment"))))</f>
        <v/>
      </c>
    </row>
    <row r="157" customFormat="false" ht="15" hidden="false" customHeight="false" outlineLevel="0" collapsed="false">
      <c r="A157" s="15"/>
      <c r="B157" s="15"/>
      <c r="C157" s="15"/>
      <c r="D157" s="16"/>
      <c r="E157" s="16"/>
      <c r="F157" s="17"/>
      <c r="G157" s="15"/>
      <c r="H157" s="16"/>
      <c r="I157" s="17"/>
      <c r="J157" s="12" t="str">
        <f aca="false">IF(H157="","",H157+Summary!$B$4)</f>
        <v/>
      </c>
      <c r="K157" s="17"/>
      <c r="L157" s="16"/>
      <c r="M157" s="13" t="str">
        <f aca="false">IF(I157="","",I157-N(K157))</f>
        <v/>
      </c>
      <c r="N157" s="14" t="str">
        <f aca="true">IF(A157="","",IF(I157="",IF(E157&lt;&gt;"","To invoice","In progress"),IF(M157&lt;=0,"Paid",IF(TODAY()&gt;J157,"Overdue","Awaiting payment"))))</f>
        <v/>
      </c>
    </row>
    <row r="158" customFormat="false" ht="15" hidden="false" customHeight="false" outlineLevel="0" collapsed="false">
      <c r="A158" s="15"/>
      <c r="B158" s="15"/>
      <c r="C158" s="15"/>
      <c r="D158" s="16"/>
      <c r="E158" s="16"/>
      <c r="F158" s="17"/>
      <c r="G158" s="15"/>
      <c r="H158" s="16"/>
      <c r="I158" s="17"/>
      <c r="J158" s="12" t="str">
        <f aca="false">IF(H158="","",H158+Summary!$B$4)</f>
        <v/>
      </c>
      <c r="K158" s="17"/>
      <c r="L158" s="16"/>
      <c r="M158" s="13" t="str">
        <f aca="false">IF(I158="","",I158-N(K158))</f>
        <v/>
      </c>
      <c r="N158" s="14" t="str">
        <f aca="true">IF(A158="","",IF(I158="",IF(E158&lt;&gt;"","To invoice","In progress"),IF(M158&lt;=0,"Paid",IF(TODAY()&gt;J158,"Overdue","Awaiting payment"))))</f>
        <v/>
      </c>
    </row>
    <row r="159" customFormat="false" ht="15" hidden="false" customHeight="false" outlineLevel="0" collapsed="false">
      <c r="A159" s="15"/>
      <c r="B159" s="15"/>
      <c r="C159" s="15"/>
      <c r="D159" s="16"/>
      <c r="E159" s="16"/>
      <c r="F159" s="17"/>
      <c r="G159" s="15"/>
      <c r="H159" s="16"/>
      <c r="I159" s="17"/>
      <c r="J159" s="12" t="str">
        <f aca="false">IF(H159="","",H159+Summary!$B$4)</f>
        <v/>
      </c>
      <c r="K159" s="17"/>
      <c r="L159" s="16"/>
      <c r="M159" s="13" t="str">
        <f aca="false">IF(I159="","",I159-N(K159))</f>
        <v/>
      </c>
      <c r="N159" s="14" t="str">
        <f aca="true">IF(A159="","",IF(I159="",IF(E159&lt;&gt;"","To invoice","In progress"),IF(M159&lt;=0,"Paid",IF(TODAY()&gt;J159,"Overdue","Awaiting payment"))))</f>
        <v/>
      </c>
    </row>
    <row r="160" customFormat="false" ht="15" hidden="false" customHeight="false" outlineLevel="0" collapsed="false">
      <c r="A160" s="15"/>
      <c r="B160" s="15"/>
      <c r="C160" s="15"/>
      <c r="D160" s="16"/>
      <c r="E160" s="16"/>
      <c r="F160" s="17"/>
      <c r="G160" s="15"/>
      <c r="H160" s="16"/>
      <c r="I160" s="17"/>
      <c r="J160" s="12" t="str">
        <f aca="false">IF(H160="","",H160+Summary!$B$4)</f>
        <v/>
      </c>
      <c r="K160" s="17"/>
      <c r="L160" s="16"/>
      <c r="M160" s="13" t="str">
        <f aca="false">IF(I160="","",I160-N(K160))</f>
        <v/>
      </c>
      <c r="N160" s="14" t="str">
        <f aca="true">IF(A160="","",IF(I160="",IF(E160&lt;&gt;"","To invoice","In progress"),IF(M160&lt;=0,"Paid",IF(TODAY()&gt;J160,"Overdue","Awaiting payment"))))</f>
        <v/>
      </c>
    </row>
    <row r="161" customFormat="false" ht="15" hidden="false" customHeight="false" outlineLevel="0" collapsed="false">
      <c r="A161" s="15"/>
      <c r="B161" s="15"/>
      <c r="C161" s="15"/>
      <c r="D161" s="16"/>
      <c r="E161" s="16"/>
      <c r="F161" s="17"/>
      <c r="G161" s="15"/>
      <c r="H161" s="16"/>
      <c r="I161" s="17"/>
      <c r="J161" s="12" t="str">
        <f aca="false">IF(H161="","",H161+Summary!$B$4)</f>
        <v/>
      </c>
      <c r="K161" s="17"/>
      <c r="L161" s="16"/>
      <c r="M161" s="13" t="str">
        <f aca="false">IF(I161="","",I161-N(K161))</f>
        <v/>
      </c>
      <c r="N161" s="14" t="str">
        <f aca="true">IF(A161="","",IF(I161="",IF(E161&lt;&gt;"","To invoice","In progress"),IF(M161&lt;=0,"Paid",IF(TODAY()&gt;J161,"Overdue","Awaiting payment"))))</f>
        <v/>
      </c>
    </row>
    <row r="162" customFormat="false" ht="15" hidden="false" customHeight="false" outlineLevel="0" collapsed="false">
      <c r="A162" s="15"/>
      <c r="B162" s="15"/>
      <c r="C162" s="15"/>
      <c r="D162" s="16"/>
      <c r="E162" s="16"/>
      <c r="F162" s="17"/>
      <c r="G162" s="15"/>
      <c r="H162" s="16"/>
      <c r="I162" s="17"/>
      <c r="J162" s="12" t="str">
        <f aca="false">IF(H162="","",H162+Summary!$B$4)</f>
        <v/>
      </c>
      <c r="K162" s="17"/>
      <c r="L162" s="16"/>
      <c r="M162" s="13" t="str">
        <f aca="false">IF(I162="","",I162-N(K162))</f>
        <v/>
      </c>
      <c r="N162" s="14" t="str">
        <f aca="true">IF(A162="","",IF(I162="",IF(E162&lt;&gt;"","To invoice","In progress"),IF(M162&lt;=0,"Paid",IF(TODAY()&gt;J162,"Overdue","Awaiting payment"))))</f>
        <v/>
      </c>
    </row>
    <row r="163" customFormat="false" ht="15" hidden="false" customHeight="false" outlineLevel="0" collapsed="false">
      <c r="A163" s="15"/>
      <c r="B163" s="15"/>
      <c r="C163" s="15"/>
      <c r="D163" s="16"/>
      <c r="E163" s="16"/>
      <c r="F163" s="17"/>
      <c r="G163" s="15"/>
      <c r="H163" s="16"/>
      <c r="I163" s="17"/>
      <c r="J163" s="12" t="str">
        <f aca="false">IF(H163="","",H163+Summary!$B$4)</f>
        <v/>
      </c>
      <c r="K163" s="17"/>
      <c r="L163" s="16"/>
      <c r="M163" s="13" t="str">
        <f aca="false">IF(I163="","",I163-N(K163))</f>
        <v/>
      </c>
      <c r="N163" s="14" t="str">
        <f aca="true">IF(A163="","",IF(I163="",IF(E163&lt;&gt;"","To invoice","In progress"),IF(M163&lt;=0,"Paid",IF(TODAY()&gt;J163,"Overdue","Awaiting payment"))))</f>
        <v/>
      </c>
    </row>
    <row r="164" customFormat="false" ht="15" hidden="false" customHeight="false" outlineLevel="0" collapsed="false">
      <c r="A164" s="15"/>
      <c r="B164" s="15"/>
      <c r="C164" s="15"/>
      <c r="D164" s="16"/>
      <c r="E164" s="16"/>
      <c r="F164" s="17"/>
      <c r="G164" s="15"/>
      <c r="H164" s="16"/>
      <c r="I164" s="17"/>
      <c r="J164" s="12" t="str">
        <f aca="false">IF(H164="","",H164+Summary!$B$4)</f>
        <v/>
      </c>
      <c r="K164" s="17"/>
      <c r="L164" s="16"/>
      <c r="M164" s="13" t="str">
        <f aca="false">IF(I164="","",I164-N(K164))</f>
        <v/>
      </c>
      <c r="N164" s="14" t="str">
        <f aca="true">IF(A164="","",IF(I164="",IF(E164&lt;&gt;"","To invoice","In progress"),IF(M164&lt;=0,"Paid",IF(TODAY()&gt;J164,"Overdue","Awaiting payment"))))</f>
        <v/>
      </c>
    </row>
    <row r="165" customFormat="false" ht="15" hidden="false" customHeight="false" outlineLevel="0" collapsed="false">
      <c r="A165" s="15"/>
      <c r="B165" s="15"/>
      <c r="C165" s="15"/>
      <c r="D165" s="16"/>
      <c r="E165" s="16"/>
      <c r="F165" s="17"/>
      <c r="G165" s="15"/>
      <c r="H165" s="16"/>
      <c r="I165" s="17"/>
      <c r="J165" s="12" t="str">
        <f aca="false">IF(H165="","",H165+Summary!$B$4)</f>
        <v/>
      </c>
      <c r="K165" s="17"/>
      <c r="L165" s="16"/>
      <c r="M165" s="13" t="str">
        <f aca="false">IF(I165="","",I165-N(K165))</f>
        <v/>
      </c>
      <c r="N165" s="14" t="str">
        <f aca="true">IF(A165="","",IF(I165="",IF(E165&lt;&gt;"","To invoice","In progress"),IF(M165&lt;=0,"Paid",IF(TODAY()&gt;J165,"Overdue","Awaiting payment"))))</f>
        <v/>
      </c>
    </row>
    <row r="166" customFormat="false" ht="15" hidden="false" customHeight="false" outlineLevel="0" collapsed="false">
      <c r="A166" s="15"/>
      <c r="B166" s="15"/>
      <c r="C166" s="15"/>
      <c r="D166" s="16"/>
      <c r="E166" s="16"/>
      <c r="F166" s="17"/>
      <c r="G166" s="15"/>
      <c r="H166" s="16"/>
      <c r="I166" s="17"/>
      <c r="J166" s="12" t="str">
        <f aca="false">IF(H166="","",H166+Summary!$B$4)</f>
        <v/>
      </c>
      <c r="K166" s="17"/>
      <c r="L166" s="16"/>
      <c r="M166" s="13" t="str">
        <f aca="false">IF(I166="","",I166-N(K166))</f>
        <v/>
      </c>
      <c r="N166" s="14" t="str">
        <f aca="true">IF(A166="","",IF(I166="",IF(E166&lt;&gt;"","To invoice","In progress"),IF(M166&lt;=0,"Paid",IF(TODAY()&gt;J166,"Overdue","Awaiting payment"))))</f>
        <v/>
      </c>
    </row>
    <row r="167" customFormat="false" ht="15" hidden="false" customHeight="false" outlineLevel="0" collapsed="false">
      <c r="A167" s="15"/>
      <c r="B167" s="15"/>
      <c r="C167" s="15"/>
      <c r="D167" s="16"/>
      <c r="E167" s="16"/>
      <c r="F167" s="17"/>
      <c r="G167" s="15"/>
      <c r="H167" s="16"/>
      <c r="I167" s="17"/>
      <c r="J167" s="12" t="str">
        <f aca="false">IF(H167="","",H167+Summary!$B$4)</f>
        <v/>
      </c>
      <c r="K167" s="17"/>
      <c r="L167" s="16"/>
      <c r="M167" s="13" t="str">
        <f aca="false">IF(I167="","",I167-N(K167))</f>
        <v/>
      </c>
      <c r="N167" s="14" t="str">
        <f aca="true">IF(A167="","",IF(I167="",IF(E167&lt;&gt;"","To invoice","In progress"),IF(M167&lt;=0,"Paid",IF(TODAY()&gt;J167,"Overdue","Awaiting payment"))))</f>
        <v/>
      </c>
    </row>
    <row r="168" customFormat="false" ht="15" hidden="false" customHeight="false" outlineLevel="0" collapsed="false">
      <c r="A168" s="15"/>
      <c r="B168" s="15"/>
      <c r="C168" s="15"/>
      <c r="D168" s="16"/>
      <c r="E168" s="16"/>
      <c r="F168" s="17"/>
      <c r="G168" s="15"/>
      <c r="H168" s="16"/>
      <c r="I168" s="17"/>
      <c r="J168" s="12" t="str">
        <f aca="false">IF(H168="","",H168+Summary!$B$4)</f>
        <v/>
      </c>
      <c r="K168" s="17"/>
      <c r="L168" s="16"/>
      <c r="M168" s="13" t="str">
        <f aca="false">IF(I168="","",I168-N(K168))</f>
        <v/>
      </c>
      <c r="N168" s="14" t="str">
        <f aca="true">IF(A168="","",IF(I168="",IF(E168&lt;&gt;"","To invoice","In progress"),IF(M168&lt;=0,"Paid",IF(TODAY()&gt;J168,"Overdue","Awaiting payment"))))</f>
        <v/>
      </c>
    </row>
    <row r="169" customFormat="false" ht="15" hidden="false" customHeight="false" outlineLevel="0" collapsed="false">
      <c r="A169" s="15"/>
      <c r="B169" s="15"/>
      <c r="C169" s="15"/>
      <c r="D169" s="16"/>
      <c r="E169" s="16"/>
      <c r="F169" s="17"/>
      <c r="G169" s="15"/>
      <c r="H169" s="16"/>
      <c r="I169" s="17"/>
      <c r="J169" s="12" t="str">
        <f aca="false">IF(H169="","",H169+Summary!$B$4)</f>
        <v/>
      </c>
      <c r="K169" s="17"/>
      <c r="L169" s="16"/>
      <c r="M169" s="13" t="str">
        <f aca="false">IF(I169="","",I169-N(K169))</f>
        <v/>
      </c>
      <c r="N169" s="14" t="str">
        <f aca="true">IF(A169="","",IF(I169="",IF(E169&lt;&gt;"","To invoice","In progress"),IF(M169&lt;=0,"Paid",IF(TODAY()&gt;J169,"Overdue","Awaiting payment"))))</f>
        <v/>
      </c>
    </row>
    <row r="170" customFormat="false" ht="15" hidden="false" customHeight="false" outlineLevel="0" collapsed="false">
      <c r="A170" s="15"/>
      <c r="B170" s="15"/>
      <c r="C170" s="15"/>
      <c r="D170" s="16"/>
      <c r="E170" s="16"/>
      <c r="F170" s="17"/>
      <c r="G170" s="15"/>
      <c r="H170" s="16"/>
      <c r="I170" s="17"/>
      <c r="J170" s="12" t="str">
        <f aca="false">IF(H170="","",H170+Summary!$B$4)</f>
        <v/>
      </c>
      <c r="K170" s="17"/>
      <c r="L170" s="16"/>
      <c r="M170" s="13" t="str">
        <f aca="false">IF(I170="","",I170-N(K170))</f>
        <v/>
      </c>
      <c r="N170" s="14" t="str">
        <f aca="true">IF(A170="","",IF(I170="",IF(E170&lt;&gt;"","To invoice","In progress"),IF(M170&lt;=0,"Paid",IF(TODAY()&gt;J170,"Overdue","Awaiting payment"))))</f>
        <v/>
      </c>
    </row>
    <row r="171" customFormat="false" ht="15" hidden="false" customHeight="false" outlineLevel="0" collapsed="false">
      <c r="A171" s="15"/>
      <c r="B171" s="15"/>
      <c r="C171" s="15"/>
      <c r="D171" s="16"/>
      <c r="E171" s="16"/>
      <c r="F171" s="17"/>
      <c r="G171" s="15"/>
      <c r="H171" s="16"/>
      <c r="I171" s="17"/>
      <c r="J171" s="12" t="str">
        <f aca="false">IF(H171="","",H171+Summary!$B$4)</f>
        <v/>
      </c>
      <c r="K171" s="17"/>
      <c r="L171" s="16"/>
      <c r="M171" s="13" t="str">
        <f aca="false">IF(I171="","",I171-N(K171))</f>
        <v/>
      </c>
      <c r="N171" s="14" t="str">
        <f aca="true">IF(A171="","",IF(I171="",IF(E171&lt;&gt;"","To invoice","In progress"),IF(M171&lt;=0,"Paid",IF(TODAY()&gt;J171,"Overdue","Awaiting payment"))))</f>
        <v/>
      </c>
    </row>
    <row r="172" customFormat="false" ht="15" hidden="false" customHeight="false" outlineLevel="0" collapsed="false">
      <c r="A172" s="15"/>
      <c r="B172" s="15"/>
      <c r="C172" s="15"/>
      <c r="D172" s="16"/>
      <c r="E172" s="16"/>
      <c r="F172" s="17"/>
      <c r="G172" s="15"/>
      <c r="H172" s="16"/>
      <c r="I172" s="17"/>
      <c r="J172" s="12" t="str">
        <f aca="false">IF(H172="","",H172+Summary!$B$4)</f>
        <v/>
      </c>
      <c r="K172" s="17"/>
      <c r="L172" s="16"/>
      <c r="M172" s="13" t="str">
        <f aca="false">IF(I172="","",I172-N(K172))</f>
        <v/>
      </c>
      <c r="N172" s="14" t="str">
        <f aca="true">IF(A172="","",IF(I172="",IF(E172&lt;&gt;"","To invoice","In progress"),IF(M172&lt;=0,"Paid",IF(TODAY()&gt;J172,"Overdue","Awaiting payment"))))</f>
        <v/>
      </c>
    </row>
    <row r="173" customFormat="false" ht="15" hidden="false" customHeight="false" outlineLevel="0" collapsed="false">
      <c r="A173" s="15"/>
      <c r="B173" s="15"/>
      <c r="C173" s="15"/>
      <c r="D173" s="16"/>
      <c r="E173" s="16"/>
      <c r="F173" s="17"/>
      <c r="G173" s="15"/>
      <c r="H173" s="16"/>
      <c r="I173" s="17"/>
      <c r="J173" s="12" t="str">
        <f aca="false">IF(H173="","",H173+Summary!$B$4)</f>
        <v/>
      </c>
      <c r="K173" s="17"/>
      <c r="L173" s="16"/>
      <c r="M173" s="13" t="str">
        <f aca="false">IF(I173="","",I173-N(K173))</f>
        <v/>
      </c>
      <c r="N173" s="14" t="str">
        <f aca="true">IF(A173="","",IF(I173="",IF(E173&lt;&gt;"","To invoice","In progress"),IF(M173&lt;=0,"Paid",IF(TODAY()&gt;J173,"Overdue","Awaiting payment"))))</f>
        <v/>
      </c>
    </row>
    <row r="174" customFormat="false" ht="15" hidden="false" customHeight="false" outlineLevel="0" collapsed="false">
      <c r="A174" s="15"/>
      <c r="B174" s="15"/>
      <c r="C174" s="15"/>
      <c r="D174" s="16"/>
      <c r="E174" s="16"/>
      <c r="F174" s="17"/>
      <c r="G174" s="15"/>
      <c r="H174" s="16"/>
      <c r="I174" s="17"/>
      <c r="J174" s="12" t="str">
        <f aca="false">IF(H174="","",H174+Summary!$B$4)</f>
        <v/>
      </c>
      <c r="K174" s="17"/>
      <c r="L174" s="16"/>
      <c r="M174" s="13" t="str">
        <f aca="false">IF(I174="","",I174-N(K174))</f>
        <v/>
      </c>
      <c r="N174" s="14" t="str">
        <f aca="true">IF(A174="","",IF(I174="",IF(E174&lt;&gt;"","To invoice","In progress"),IF(M174&lt;=0,"Paid",IF(TODAY()&gt;J174,"Overdue","Awaiting payment"))))</f>
        <v/>
      </c>
    </row>
    <row r="175" customFormat="false" ht="15" hidden="false" customHeight="false" outlineLevel="0" collapsed="false">
      <c r="A175" s="15"/>
      <c r="B175" s="15"/>
      <c r="C175" s="15"/>
      <c r="D175" s="16"/>
      <c r="E175" s="16"/>
      <c r="F175" s="17"/>
      <c r="G175" s="15"/>
      <c r="H175" s="16"/>
      <c r="I175" s="17"/>
      <c r="J175" s="12" t="str">
        <f aca="false">IF(H175="","",H175+Summary!$B$4)</f>
        <v/>
      </c>
      <c r="K175" s="17"/>
      <c r="L175" s="16"/>
      <c r="M175" s="13" t="str">
        <f aca="false">IF(I175="","",I175-N(K175))</f>
        <v/>
      </c>
      <c r="N175" s="14" t="str">
        <f aca="true">IF(A175="","",IF(I175="",IF(E175&lt;&gt;"","To invoice","In progress"),IF(M175&lt;=0,"Paid",IF(TODAY()&gt;J175,"Overdue","Awaiting payment"))))</f>
        <v/>
      </c>
    </row>
    <row r="176" customFormat="false" ht="15" hidden="false" customHeight="false" outlineLevel="0" collapsed="false">
      <c r="A176" s="15"/>
      <c r="B176" s="15"/>
      <c r="C176" s="15"/>
      <c r="D176" s="16"/>
      <c r="E176" s="16"/>
      <c r="F176" s="17"/>
      <c r="G176" s="15"/>
      <c r="H176" s="16"/>
      <c r="I176" s="17"/>
      <c r="J176" s="12" t="str">
        <f aca="false">IF(H176="","",H176+Summary!$B$4)</f>
        <v/>
      </c>
      <c r="K176" s="17"/>
      <c r="L176" s="16"/>
      <c r="M176" s="13" t="str">
        <f aca="false">IF(I176="","",I176-N(K176))</f>
        <v/>
      </c>
      <c r="N176" s="14" t="str">
        <f aca="true">IF(A176="","",IF(I176="",IF(E176&lt;&gt;"","To invoice","In progress"),IF(M176&lt;=0,"Paid",IF(TODAY()&gt;J176,"Overdue","Awaiting payment"))))</f>
        <v/>
      </c>
    </row>
    <row r="177" customFormat="false" ht="15" hidden="false" customHeight="false" outlineLevel="0" collapsed="false">
      <c r="A177" s="15"/>
      <c r="B177" s="15"/>
      <c r="C177" s="15"/>
      <c r="D177" s="16"/>
      <c r="E177" s="16"/>
      <c r="F177" s="17"/>
      <c r="G177" s="15"/>
      <c r="H177" s="16"/>
      <c r="I177" s="17"/>
      <c r="J177" s="12" t="str">
        <f aca="false">IF(H177="","",H177+Summary!$B$4)</f>
        <v/>
      </c>
      <c r="K177" s="17"/>
      <c r="L177" s="16"/>
      <c r="M177" s="13" t="str">
        <f aca="false">IF(I177="","",I177-N(K177))</f>
        <v/>
      </c>
      <c r="N177" s="14" t="str">
        <f aca="true">IF(A177="","",IF(I177="",IF(E177&lt;&gt;"","To invoice","In progress"),IF(M177&lt;=0,"Paid",IF(TODAY()&gt;J177,"Overdue","Awaiting payment"))))</f>
        <v/>
      </c>
    </row>
    <row r="178" customFormat="false" ht="15" hidden="false" customHeight="false" outlineLevel="0" collapsed="false">
      <c r="A178" s="15"/>
      <c r="B178" s="15"/>
      <c r="C178" s="15"/>
      <c r="D178" s="16"/>
      <c r="E178" s="16"/>
      <c r="F178" s="17"/>
      <c r="G178" s="15"/>
      <c r="H178" s="16"/>
      <c r="I178" s="17"/>
      <c r="J178" s="12" t="str">
        <f aca="false">IF(H178="","",H178+Summary!$B$4)</f>
        <v/>
      </c>
      <c r="K178" s="17"/>
      <c r="L178" s="16"/>
      <c r="M178" s="13" t="str">
        <f aca="false">IF(I178="","",I178-N(K178))</f>
        <v/>
      </c>
      <c r="N178" s="14" t="str">
        <f aca="true">IF(A178="","",IF(I178="",IF(E178&lt;&gt;"","To invoice","In progress"),IF(M178&lt;=0,"Paid",IF(TODAY()&gt;J178,"Overdue","Awaiting payment"))))</f>
        <v/>
      </c>
    </row>
    <row r="179" customFormat="false" ht="15" hidden="false" customHeight="false" outlineLevel="0" collapsed="false">
      <c r="A179" s="15"/>
      <c r="B179" s="15"/>
      <c r="C179" s="15"/>
      <c r="D179" s="16"/>
      <c r="E179" s="16"/>
      <c r="F179" s="17"/>
      <c r="G179" s="15"/>
      <c r="H179" s="16"/>
      <c r="I179" s="17"/>
      <c r="J179" s="12" t="str">
        <f aca="false">IF(H179="","",H179+Summary!$B$4)</f>
        <v/>
      </c>
      <c r="K179" s="17"/>
      <c r="L179" s="16"/>
      <c r="M179" s="13" t="str">
        <f aca="false">IF(I179="","",I179-N(K179))</f>
        <v/>
      </c>
      <c r="N179" s="14" t="str">
        <f aca="true">IF(A179="","",IF(I179="",IF(E179&lt;&gt;"","To invoice","In progress"),IF(M179&lt;=0,"Paid",IF(TODAY()&gt;J179,"Overdue","Awaiting payment"))))</f>
        <v/>
      </c>
    </row>
    <row r="180" customFormat="false" ht="15" hidden="false" customHeight="false" outlineLevel="0" collapsed="false">
      <c r="A180" s="15"/>
      <c r="B180" s="15"/>
      <c r="C180" s="15"/>
      <c r="D180" s="16"/>
      <c r="E180" s="16"/>
      <c r="F180" s="17"/>
      <c r="G180" s="15"/>
      <c r="H180" s="16"/>
      <c r="I180" s="17"/>
      <c r="J180" s="12" t="str">
        <f aca="false">IF(H180="","",H180+Summary!$B$4)</f>
        <v/>
      </c>
      <c r="K180" s="17"/>
      <c r="L180" s="16"/>
      <c r="M180" s="13" t="str">
        <f aca="false">IF(I180="","",I180-N(K180))</f>
        <v/>
      </c>
      <c r="N180" s="14" t="str">
        <f aca="true">IF(A180="","",IF(I180="",IF(E180&lt;&gt;"","To invoice","In progress"),IF(M180&lt;=0,"Paid",IF(TODAY()&gt;J180,"Overdue","Awaiting payment"))))</f>
        <v/>
      </c>
    </row>
    <row r="181" customFormat="false" ht="15" hidden="false" customHeight="false" outlineLevel="0" collapsed="false">
      <c r="A181" s="15"/>
      <c r="B181" s="15"/>
      <c r="C181" s="15"/>
      <c r="D181" s="16"/>
      <c r="E181" s="16"/>
      <c r="F181" s="17"/>
      <c r="G181" s="15"/>
      <c r="H181" s="16"/>
      <c r="I181" s="17"/>
      <c r="J181" s="12" t="str">
        <f aca="false">IF(H181="","",H181+Summary!$B$4)</f>
        <v/>
      </c>
      <c r="K181" s="17"/>
      <c r="L181" s="16"/>
      <c r="M181" s="13" t="str">
        <f aca="false">IF(I181="","",I181-N(K181))</f>
        <v/>
      </c>
      <c r="N181" s="14" t="str">
        <f aca="true">IF(A181="","",IF(I181="",IF(E181&lt;&gt;"","To invoice","In progress"),IF(M181&lt;=0,"Paid",IF(TODAY()&gt;J181,"Overdue","Awaiting payment"))))</f>
        <v/>
      </c>
    </row>
    <row r="182" customFormat="false" ht="15" hidden="false" customHeight="false" outlineLevel="0" collapsed="false">
      <c r="A182" s="15"/>
      <c r="B182" s="15"/>
      <c r="C182" s="15"/>
      <c r="D182" s="16"/>
      <c r="E182" s="16"/>
      <c r="F182" s="17"/>
      <c r="G182" s="15"/>
      <c r="H182" s="16"/>
      <c r="I182" s="17"/>
      <c r="J182" s="12" t="str">
        <f aca="false">IF(H182="","",H182+Summary!$B$4)</f>
        <v/>
      </c>
      <c r="K182" s="17"/>
      <c r="L182" s="16"/>
      <c r="M182" s="13" t="str">
        <f aca="false">IF(I182="","",I182-N(K182))</f>
        <v/>
      </c>
      <c r="N182" s="14" t="str">
        <f aca="true">IF(A182="","",IF(I182="",IF(E182&lt;&gt;"","To invoice","In progress"),IF(M182&lt;=0,"Paid",IF(TODAY()&gt;J182,"Overdue","Awaiting payment"))))</f>
        <v/>
      </c>
    </row>
    <row r="183" customFormat="false" ht="15" hidden="false" customHeight="false" outlineLevel="0" collapsed="false">
      <c r="A183" s="15"/>
      <c r="B183" s="15"/>
      <c r="C183" s="15"/>
      <c r="D183" s="16"/>
      <c r="E183" s="16"/>
      <c r="F183" s="17"/>
      <c r="G183" s="15"/>
      <c r="H183" s="16"/>
      <c r="I183" s="17"/>
      <c r="J183" s="12" t="str">
        <f aca="false">IF(H183="","",H183+Summary!$B$4)</f>
        <v/>
      </c>
      <c r="K183" s="17"/>
      <c r="L183" s="16"/>
      <c r="M183" s="13" t="str">
        <f aca="false">IF(I183="","",I183-N(K183))</f>
        <v/>
      </c>
      <c r="N183" s="14" t="str">
        <f aca="true">IF(A183="","",IF(I183="",IF(E183&lt;&gt;"","To invoice","In progress"),IF(M183&lt;=0,"Paid",IF(TODAY()&gt;J183,"Overdue","Awaiting payment"))))</f>
        <v/>
      </c>
    </row>
    <row r="184" customFormat="false" ht="15" hidden="false" customHeight="false" outlineLevel="0" collapsed="false">
      <c r="A184" s="15"/>
      <c r="B184" s="15"/>
      <c r="C184" s="15"/>
      <c r="D184" s="16"/>
      <c r="E184" s="16"/>
      <c r="F184" s="17"/>
      <c r="G184" s="15"/>
      <c r="H184" s="16"/>
      <c r="I184" s="17"/>
      <c r="J184" s="12" t="str">
        <f aca="false">IF(H184="","",H184+Summary!$B$4)</f>
        <v/>
      </c>
      <c r="K184" s="17"/>
      <c r="L184" s="16"/>
      <c r="M184" s="13" t="str">
        <f aca="false">IF(I184="","",I184-N(K184))</f>
        <v/>
      </c>
      <c r="N184" s="14" t="str">
        <f aca="true">IF(A184="","",IF(I184="",IF(E184&lt;&gt;"","To invoice","In progress"),IF(M184&lt;=0,"Paid",IF(TODAY()&gt;J184,"Overdue","Awaiting payment"))))</f>
        <v/>
      </c>
    </row>
    <row r="185" customFormat="false" ht="15" hidden="false" customHeight="false" outlineLevel="0" collapsed="false">
      <c r="A185" s="15"/>
      <c r="B185" s="15"/>
      <c r="C185" s="15"/>
      <c r="D185" s="16"/>
      <c r="E185" s="16"/>
      <c r="F185" s="17"/>
      <c r="G185" s="15"/>
      <c r="H185" s="16"/>
      <c r="I185" s="17"/>
      <c r="J185" s="12" t="str">
        <f aca="false">IF(H185="","",H185+Summary!$B$4)</f>
        <v/>
      </c>
      <c r="K185" s="17"/>
      <c r="L185" s="16"/>
      <c r="M185" s="13" t="str">
        <f aca="false">IF(I185="","",I185-N(K185))</f>
        <v/>
      </c>
      <c r="N185" s="14" t="str">
        <f aca="true">IF(A185="","",IF(I185="",IF(E185&lt;&gt;"","To invoice","In progress"),IF(M185&lt;=0,"Paid",IF(TODAY()&gt;J185,"Overdue","Awaiting payment"))))</f>
        <v/>
      </c>
    </row>
    <row r="186" customFormat="false" ht="15" hidden="false" customHeight="false" outlineLevel="0" collapsed="false">
      <c r="A186" s="15"/>
      <c r="B186" s="15"/>
      <c r="C186" s="15"/>
      <c r="D186" s="16"/>
      <c r="E186" s="16"/>
      <c r="F186" s="17"/>
      <c r="G186" s="15"/>
      <c r="H186" s="16"/>
      <c r="I186" s="17"/>
      <c r="J186" s="12" t="str">
        <f aca="false">IF(H186="","",H186+Summary!$B$4)</f>
        <v/>
      </c>
      <c r="K186" s="17"/>
      <c r="L186" s="16"/>
      <c r="M186" s="13" t="str">
        <f aca="false">IF(I186="","",I186-N(K186))</f>
        <v/>
      </c>
      <c r="N186" s="14" t="str">
        <f aca="true">IF(A186="","",IF(I186="",IF(E186&lt;&gt;"","To invoice","In progress"),IF(M186&lt;=0,"Paid",IF(TODAY()&gt;J186,"Overdue","Awaiting payment"))))</f>
        <v/>
      </c>
    </row>
    <row r="187" customFormat="false" ht="15" hidden="false" customHeight="false" outlineLevel="0" collapsed="false">
      <c r="A187" s="15"/>
      <c r="B187" s="15"/>
      <c r="C187" s="15"/>
      <c r="D187" s="16"/>
      <c r="E187" s="16"/>
      <c r="F187" s="17"/>
      <c r="G187" s="15"/>
      <c r="H187" s="16"/>
      <c r="I187" s="17"/>
      <c r="J187" s="12" t="str">
        <f aca="false">IF(H187="","",H187+Summary!$B$4)</f>
        <v/>
      </c>
      <c r="K187" s="17"/>
      <c r="L187" s="16"/>
      <c r="M187" s="13" t="str">
        <f aca="false">IF(I187="","",I187-N(K187))</f>
        <v/>
      </c>
      <c r="N187" s="14" t="str">
        <f aca="true">IF(A187="","",IF(I187="",IF(E187&lt;&gt;"","To invoice","In progress"),IF(M187&lt;=0,"Paid",IF(TODAY()&gt;J187,"Overdue","Awaiting payment"))))</f>
        <v/>
      </c>
    </row>
    <row r="188" customFormat="false" ht="15" hidden="false" customHeight="false" outlineLevel="0" collapsed="false">
      <c r="A188" s="15"/>
      <c r="B188" s="15"/>
      <c r="C188" s="15"/>
      <c r="D188" s="16"/>
      <c r="E188" s="16"/>
      <c r="F188" s="17"/>
      <c r="G188" s="15"/>
      <c r="H188" s="16"/>
      <c r="I188" s="17"/>
      <c r="J188" s="12" t="str">
        <f aca="false">IF(H188="","",H188+Summary!$B$4)</f>
        <v/>
      </c>
      <c r="K188" s="17"/>
      <c r="L188" s="16"/>
      <c r="M188" s="13" t="str">
        <f aca="false">IF(I188="","",I188-N(K188))</f>
        <v/>
      </c>
      <c r="N188" s="14" t="str">
        <f aca="true">IF(A188="","",IF(I188="",IF(E188&lt;&gt;"","To invoice","In progress"),IF(M188&lt;=0,"Paid",IF(TODAY()&gt;J188,"Overdue","Awaiting payment"))))</f>
        <v/>
      </c>
    </row>
    <row r="189" customFormat="false" ht="15" hidden="false" customHeight="false" outlineLevel="0" collapsed="false">
      <c r="A189" s="15"/>
      <c r="B189" s="15"/>
      <c r="C189" s="15"/>
      <c r="D189" s="16"/>
      <c r="E189" s="16"/>
      <c r="F189" s="17"/>
      <c r="G189" s="15"/>
      <c r="H189" s="16"/>
      <c r="I189" s="17"/>
      <c r="J189" s="12" t="str">
        <f aca="false">IF(H189="","",H189+Summary!$B$4)</f>
        <v/>
      </c>
      <c r="K189" s="17"/>
      <c r="L189" s="16"/>
      <c r="M189" s="13" t="str">
        <f aca="false">IF(I189="","",I189-N(K189))</f>
        <v/>
      </c>
      <c r="N189" s="14" t="str">
        <f aca="true">IF(A189="","",IF(I189="",IF(E189&lt;&gt;"","To invoice","In progress"),IF(M189&lt;=0,"Paid",IF(TODAY()&gt;J189,"Overdue","Awaiting payment"))))</f>
        <v/>
      </c>
    </row>
    <row r="190" customFormat="false" ht="15" hidden="false" customHeight="false" outlineLevel="0" collapsed="false">
      <c r="A190" s="15"/>
      <c r="B190" s="15"/>
      <c r="C190" s="15"/>
      <c r="D190" s="16"/>
      <c r="E190" s="16"/>
      <c r="F190" s="17"/>
      <c r="G190" s="15"/>
      <c r="H190" s="16"/>
      <c r="I190" s="17"/>
      <c r="J190" s="12" t="str">
        <f aca="false">IF(H190="","",H190+Summary!$B$4)</f>
        <v/>
      </c>
      <c r="K190" s="17"/>
      <c r="L190" s="16"/>
      <c r="M190" s="13" t="str">
        <f aca="false">IF(I190="","",I190-N(K190))</f>
        <v/>
      </c>
      <c r="N190" s="14" t="str">
        <f aca="true">IF(A190="","",IF(I190="",IF(E190&lt;&gt;"","To invoice","In progress"),IF(M190&lt;=0,"Paid",IF(TODAY()&gt;J190,"Overdue","Awaiting payment"))))</f>
        <v/>
      </c>
    </row>
    <row r="191" customFormat="false" ht="15" hidden="false" customHeight="false" outlineLevel="0" collapsed="false">
      <c r="A191" s="15"/>
      <c r="B191" s="15"/>
      <c r="C191" s="15"/>
      <c r="D191" s="16"/>
      <c r="E191" s="16"/>
      <c r="F191" s="17"/>
      <c r="G191" s="15"/>
      <c r="H191" s="16"/>
      <c r="I191" s="17"/>
      <c r="J191" s="12" t="str">
        <f aca="false">IF(H191="","",H191+Summary!$B$4)</f>
        <v/>
      </c>
      <c r="K191" s="17"/>
      <c r="L191" s="16"/>
      <c r="M191" s="13" t="str">
        <f aca="false">IF(I191="","",I191-N(K191))</f>
        <v/>
      </c>
      <c r="N191" s="14" t="str">
        <f aca="true">IF(A191="","",IF(I191="",IF(E191&lt;&gt;"","To invoice","In progress"),IF(M191&lt;=0,"Paid",IF(TODAY()&gt;J191,"Overdue","Awaiting payment"))))</f>
        <v/>
      </c>
    </row>
    <row r="192" customFormat="false" ht="15" hidden="false" customHeight="false" outlineLevel="0" collapsed="false">
      <c r="A192" s="15"/>
      <c r="B192" s="15"/>
      <c r="C192" s="15"/>
      <c r="D192" s="16"/>
      <c r="E192" s="16"/>
      <c r="F192" s="17"/>
      <c r="G192" s="15"/>
      <c r="H192" s="16"/>
      <c r="I192" s="17"/>
      <c r="J192" s="12" t="str">
        <f aca="false">IF(H192="","",H192+Summary!$B$4)</f>
        <v/>
      </c>
      <c r="K192" s="17"/>
      <c r="L192" s="16"/>
      <c r="M192" s="13" t="str">
        <f aca="false">IF(I192="","",I192-N(K192))</f>
        <v/>
      </c>
      <c r="N192" s="14" t="str">
        <f aca="true">IF(A192="","",IF(I192="",IF(E192&lt;&gt;"","To invoice","In progress"),IF(M192&lt;=0,"Paid",IF(TODAY()&gt;J192,"Overdue","Awaiting payment"))))</f>
        <v/>
      </c>
    </row>
    <row r="193" customFormat="false" ht="15" hidden="false" customHeight="false" outlineLevel="0" collapsed="false">
      <c r="A193" s="15"/>
      <c r="B193" s="15"/>
      <c r="C193" s="15"/>
      <c r="D193" s="16"/>
      <c r="E193" s="16"/>
      <c r="F193" s="17"/>
      <c r="G193" s="15"/>
      <c r="H193" s="16"/>
      <c r="I193" s="17"/>
      <c r="J193" s="12" t="str">
        <f aca="false">IF(H193="","",H193+Summary!$B$4)</f>
        <v/>
      </c>
      <c r="K193" s="17"/>
      <c r="L193" s="16"/>
      <c r="M193" s="13" t="str">
        <f aca="false">IF(I193="","",I193-N(K193))</f>
        <v/>
      </c>
      <c r="N193" s="14" t="str">
        <f aca="true">IF(A193="","",IF(I193="",IF(E193&lt;&gt;"","To invoice","In progress"),IF(M193&lt;=0,"Paid",IF(TODAY()&gt;J193,"Overdue","Awaiting payment"))))</f>
        <v/>
      </c>
    </row>
    <row r="194" customFormat="false" ht="15" hidden="false" customHeight="false" outlineLevel="0" collapsed="false">
      <c r="A194" s="15"/>
      <c r="B194" s="15"/>
      <c r="C194" s="15"/>
      <c r="D194" s="16"/>
      <c r="E194" s="16"/>
      <c r="F194" s="17"/>
      <c r="G194" s="15"/>
      <c r="H194" s="16"/>
      <c r="I194" s="17"/>
      <c r="J194" s="12" t="str">
        <f aca="false">IF(H194="","",H194+Summary!$B$4)</f>
        <v/>
      </c>
      <c r="K194" s="17"/>
      <c r="L194" s="16"/>
      <c r="M194" s="13" t="str">
        <f aca="false">IF(I194="","",I194-N(K194))</f>
        <v/>
      </c>
      <c r="N194" s="14" t="str">
        <f aca="true">IF(A194="","",IF(I194="",IF(E194&lt;&gt;"","To invoice","In progress"),IF(M194&lt;=0,"Paid",IF(TODAY()&gt;J194,"Overdue","Awaiting payment"))))</f>
        <v/>
      </c>
    </row>
    <row r="195" customFormat="false" ht="15" hidden="false" customHeight="false" outlineLevel="0" collapsed="false">
      <c r="A195" s="15"/>
      <c r="B195" s="15"/>
      <c r="C195" s="15"/>
      <c r="D195" s="16"/>
      <c r="E195" s="16"/>
      <c r="F195" s="17"/>
      <c r="G195" s="15"/>
      <c r="H195" s="16"/>
      <c r="I195" s="17"/>
      <c r="J195" s="12" t="str">
        <f aca="false">IF(H195="","",H195+Summary!$B$4)</f>
        <v/>
      </c>
      <c r="K195" s="17"/>
      <c r="L195" s="16"/>
      <c r="M195" s="13" t="str">
        <f aca="false">IF(I195="","",I195-N(K195))</f>
        <v/>
      </c>
      <c r="N195" s="14" t="str">
        <f aca="true">IF(A195="","",IF(I195="",IF(E195&lt;&gt;"","To invoice","In progress"),IF(M195&lt;=0,"Paid",IF(TODAY()&gt;J195,"Overdue","Awaiting payment"))))</f>
        <v/>
      </c>
    </row>
    <row r="196" customFormat="false" ht="15" hidden="false" customHeight="false" outlineLevel="0" collapsed="false">
      <c r="A196" s="15"/>
      <c r="B196" s="15"/>
      <c r="C196" s="15"/>
      <c r="D196" s="16"/>
      <c r="E196" s="16"/>
      <c r="F196" s="17"/>
      <c r="G196" s="15"/>
      <c r="H196" s="16"/>
      <c r="I196" s="17"/>
      <c r="J196" s="12" t="str">
        <f aca="false">IF(H196="","",H196+Summary!$B$4)</f>
        <v/>
      </c>
      <c r="K196" s="17"/>
      <c r="L196" s="16"/>
      <c r="M196" s="13" t="str">
        <f aca="false">IF(I196="","",I196-N(K196))</f>
        <v/>
      </c>
      <c r="N196" s="14" t="str">
        <f aca="true">IF(A196="","",IF(I196="",IF(E196&lt;&gt;"","To invoice","In progress"),IF(M196&lt;=0,"Paid",IF(TODAY()&gt;J196,"Overdue","Awaiting payment"))))</f>
        <v/>
      </c>
    </row>
    <row r="197" customFormat="false" ht="15" hidden="false" customHeight="false" outlineLevel="0" collapsed="false">
      <c r="A197" s="15"/>
      <c r="B197" s="15"/>
      <c r="C197" s="15"/>
      <c r="D197" s="16"/>
      <c r="E197" s="16"/>
      <c r="F197" s="17"/>
      <c r="G197" s="15"/>
      <c r="H197" s="16"/>
      <c r="I197" s="17"/>
      <c r="J197" s="12" t="str">
        <f aca="false">IF(H197="","",H197+Summary!$B$4)</f>
        <v/>
      </c>
      <c r="K197" s="17"/>
      <c r="L197" s="16"/>
      <c r="M197" s="13" t="str">
        <f aca="false">IF(I197="","",I197-N(K197))</f>
        <v/>
      </c>
      <c r="N197" s="14" t="str">
        <f aca="true">IF(A197="","",IF(I197="",IF(E197&lt;&gt;"","To invoice","In progress"),IF(M197&lt;=0,"Paid",IF(TODAY()&gt;J197,"Overdue","Awaiting payment"))))</f>
        <v/>
      </c>
    </row>
    <row r="198" customFormat="false" ht="15" hidden="false" customHeight="false" outlineLevel="0" collapsed="false">
      <c r="A198" s="15"/>
      <c r="B198" s="15"/>
      <c r="C198" s="15"/>
      <c r="D198" s="16"/>
      <c r="E198" s="16"/>
      <c r="F198" s="17"/>
      <c r="G198" s="15"/>
      <c r="H198" s="16"/>
      <c r="I198" s="17"/>
      <c r="J198" s="12" t="str">
        <f aca="false">IF(H198="","",H198+Summary!$B$4)</f>
        <v/>
      </c>
      <c r="K198" s="17"/>
      <c r="L198" s="16"/>
      <c r="M198" s="13" t="str">
        <f aca="false">IF(I198="","",I198-N(K198))</f>
        <v/>
      </c>
      <c r="N198" s="14" t="str">
        <f aca="true">IF(A198="","",IF(I198="",IF(E198&lt;&gt;"","To invoice","In progress"),IF(M198&lt;=0,"Paid",IF(TODAY()&gt;J198,"Overdue","Awaiting payment"))))</f>
        <v/>
      </c>
    </row>
    <row r="199" customFormat="false" ht="15" hidden="false" customHeight="false" outlineLevel="0" collapsed="false">
      <c r="A199" s="15"/>
      <c r="B199" s="15"/>
      <c r="C199" s="15"/>
      <c r="D199" s="16"/>
      <c r="E199" s="16"/>
      <c r="F199" s="17"/>
      <c r="G199" s="15"/>
      <c r="H199" s="16"/>
      <c r="I199" s="17"/>
      <c r="J199" s="12" t="str">
        <f aca="false">IF(H199="","",H199+Summary!$B$4)</f>
        <v/>
      </c>
      <c r="K199" s="17"/>
      <c r="L199" s="16"/>
      <c r="M199" s="13" t="str">
        <f aca="false">IF(I199="","",I199-N(K199))</f>
        <v/>
      </c>
      <c r="N199" s="14" t="str">
        <f aca="true">IF(A199="","",IF(I199="",IF(E199&lt;&gt;"","To invoice","In progress"),IF(M199&lt;=0,"Paid",IF(TODAY()&gt;J199,"Overdue","Awaiting payment"))))</f>
        <v/>
      </c>
    </row>
    <row r="200" customFormat="false" ht="15" hidden="false" customHeight="false" outlineLevel="0" collapsed="false">
      <c r="A200" s="15"/>
      <c r="B200" s="15"/>
      <c r="C200" s="15"/>
      <c r="D200" s="16"/>
      <c r="E200" s="16"/>
      <c r="F200" s="17"/>
      <c r="G200" s="15"/>
      <c r="H200" s="16"/>
      <c r="I200" s="17"/>
      <c r="J200" s="12" t="str">
        <f aca="false">IF(H200="","",H200+Summary!$B$4)</f>
        <v/>
      </c>
      <c r="K200" s="17"/>
      <c r="L200" s="16"/>
      <c r="M200" s="13" t="str">
        <f aca="false">IF(I200="","",I200-N(K200))</f>
        <v/>
      </c>
      <c r="N200" s="14" t="str">
        <f aca="true">IF(A200="","",IF(I200="",IF(E200&lt;&gt;"","To invoice","In progress"),IF(M200&lt;=0,"Paid",IF(TODAY()&gt;J200,"Overdue","Awaiting payment"))))</f>
        <v/>
      </c>
    </row>
    <row r="201" customFormat="false" ht="15" hidden="false" customHeight="false" outlineLevel="0" collapsed="false">
      <c r="A201" s="15"/>
      <c r="B201" s="15"/>
      <c r="C201" s="15"/>
      <c r="D201" s="16"/>
      <c r="E201" s="16"/>
      <c r="F201" s="17"/>
      <c r="G201" s="15"/>
      <c r="H201" s="16"/>
      <c r="I201" s="17"/>
      <c r="J201" s="12" t="str">
        <f aca="false">IF(H201="","",H201+Summary!$B$4)</f>
        <v/>
      </c>
      <c r="K201" s="17"/>
      <c r="L201" s="16"/>
      <c r="M201" s="13" t="str">
        <f aca="false">IF(I201="","",I201-N(K201))</f>
        <v/>
      </c>
      <c r="N201" s="14" t="str">
        <f aca="true">IF(A201="","",IF(I201="",IF(E201&lt;&gt;"","To invoice","In progress"),IF(M201&lt;=0,"Paid",IF(TODAY()&gt;J201,"Overdue","Awaiting payment"))))</f>
        <v/>
      </c>
    </row>
    <row r="202" customFormat="false" ht="15" hidden="false" customHeight="false" outlineLevel="0" collapsed="false">
      <c r="A202" s="15"/>
      <c r="B202" s="15"/>
      <c r="C202" s="15"/>
      <c r="D202" s="16"/>
      <c r="E202" s="16"/>
      <c r="F202" s="17"/>
      <c r="G202" s="15"/>
      <c r="H202" s="16"/>
      <c r="I202" s="17"/>
      <c r="J202" s="12" t="str">
        <f aca="false">IF(H202="","",H202+Summary!$B$4)</f>
        <v/>
      </c>
      <c r="K202" s="17"/>
      <c r="L202" s="16"/>
      <c r="M202" s="13" t="str">
        <f aca="false">IF(I202="","",I202-N(K202))</f>
        <v/>
      </c>
      <c r="N202" s="14" t="str">
        <f aca="true">IF(A202="","",IF(I202="",IF(E202&lt;&gt;"","To invoice","In progress"),IF(M202&lt;=0,"Paid",IF(TODAY()&gt;J202,"Overdue","Awaiting payment"))))</f>
        <v/>
      </c>
    </row>
    <row r="203" customFormat="false" ht="15" hidden="false" customHeight="false" outlineLevel="0" collapsed="false">
      <c r="A203" s="15"/>
      <c r="B203" s="15"/>
      <c r="C203" s="15"/>
      <c r="D203" s="16"/>
      <c r="E203" s="16"/>
      <c r="F203" s="17"/>
      <c r="G203" s="15"/>
      <c r="H203" s="16"/>
      <c r="I203" s="17"/>
      <c r="J203" s="12" t="str">
        <f aca="false">IF(H203="","",H203+Summary!$B$4)</f>
        <v/>
      </c>
      <c r="K203" s="17"/>
      <c r="L203" s="16"/>
      <c r="M203" s="13" t="str">
        <f aca="false">IF(I203="","",I203-N(K203))</f>
        <v/>
      </c>
      <c r="N203" s="14" t="str">
        <f aca="true">IF(A203="","",IF(I203="",IF(E203&lt;&gt;"","To invoice","In progress"),IF(M203&lt;=0,"Paid",IF(TODAY()&gt;J203,"Overdue","Awaiting payment"))))</f>
        <v/>
      </c>
    </row>
    <row r="204" customFormat="false" ht="15" hidden="false" customHeight="false" outlineLevel="0" collapsed="false">
      <c r="A204" s="15"/>
      <c r="B204" s="15"/>
      <c r="C204" s="15"/>
      <c r="D204" s="16"/>
      <c r="E204" s="16"/>
      <c r="F204" s="17"/>
      <c r="G204" s="15"/>
      <c r="H204" s="16"/>
      <c r="I204" s="17"/>
      <c r="J204" s="12" t="str">
        <f aca="false">IF(H204="","",H204+Summary!$B$4)</f>
        <v/>
      </c>
      <c r="K204" s="17"/>
      <c r="L204" s="16"/>
      <c r="M204" s="13" t="str">
        <f aca="false">IF(I204="","",I204-N(K204))</f>
        <v/>
      </c>
      <c r="N204" s="14" t="str">
        <f aca="true">IF(A204="","",IF(I204="",IF(E204&lt;&gt;"","To invoice","In progress"),IF(M204&lt;=0,"Paid",IF(TODAY()&gt;J204,"Overdue","Awaiting payment"))))</f>
        <v/>
      </c>
    </row>
    <row r="205" customFormat="false" ht="15" hidden="false" customHeight="false" outlineLevel="0" collapsed="false">
      <c r="A205" s="15"/>
      <c r="B205" s="15"/>
      <c r="C205" s="15"/>
      <c r="D205" s="16"/>
      <c r="E205" s="16"/>
      <c r="F205" s="17"/>
      <c r="G205" s="15"/>
      <c r="H205" s="16"/>
      <c r="I205" s="17"/>
      <c r="J205" s="12" t="str">
        <f aca="false">IF(H205="","",H205+Summary!$B$4)</f>
        <v/>
      </c>
      <c r="K205" s="17"/>
      <c r="L205" s="16"/>
      <c r="M205" s="13" t="str">
        <f aca="false">IF(I205="","",I205-N(K205))</f>
        <v/>
      </c>
      <c r="N205" s="14" t="str">
        <f aca="true">IF(A205="","",IF(I205="",IF(E205&lt;&gt;"","To invoice","In progress"),IF(M205&lt;=0,"Paid",IF(TODAY()&gt;J205,"Overdue","Awaiting payment"))))</f>
        <v/>
      </c>
    </row>
    <row r="206" customFormat="false" ht="15" hidden="false" customHeight="false" outlineLevel="0" collapsed="false">
      <c r="A206" s="15"/>
      <c r="B206" s="15"/>
      <c r="C206" s="15"/>
      <c r="D206" s="16"/>
      <c r="E206" s="16"/>
      <c r="F206" s="17"/>
      <c r="G206" s="15"/>
      <c r="H206" s="16"/>
      <c r="I206" s="17"/>
      <c r="J206" s="12" t="str">
        <f aca="false">IF(H206="","",H206+Summary!$B$4)</f>
        <v/>
      </c>
      <c r="K206" s="17"/>
      <c r="L206" s="16"/>
      <c r="M206" s="13" t="str">
        <f aca="false">IF(I206="","",I206-N(K206))</f>
        <v/>
      </c>
      <c r="N206" s="14" t="str">
        <f aca="true">IF(A206="","",IF(I206="",IF(E206&lt;&gt;"","To invoice","In progress"),IF(M206&lt;=0,"Paid",IF(TODAY()&gt;J206,"Overdue","Awaiting payment"))))</f>
        <v/>
      </c>
    </row>
    <row r="207" customFormat="false" ht="15" hidden="false" customHeight="false" outlineLevel="0" collapsed="false">
      <c r="A207" s="15"/>
      <c r="B207" s="15"/>
      <c r="C207" s="15"/>
      <c r="D207" s="16"/>
      <c r="E207" s="16"/>
      <c r="F207" s="17"/>
      <c r="G207" s="15"/>
      <c r="H207" s="16"/>
      <c r="I207" s="17"/>
      <c r="J207" s="12" t="str">
        <f aca="false">IF(H207="","",H207+Summary!$B$4)</f>
        <v/>
      </c>
      <c r="K207" s="17"/>
      <c r="L207" s="16"/>
      <c r="M207" s="13" t="str">
        <f aca="false">IF(I207="","",I207-N(K207))</f>
        <v/>
      </c>
      <c r="N207" s="14" t="str">
        <f aca="true">IF(A207="","",IF(I207="",IF(E207&lt;&gt;"","To invoice","In progress"),IF(M207&lt;=0,"Paid",IF(TODAY()&gt;J207,"Overdue","Awaiting payment"))))</f>
        <v/>
      </c>
    </row>
    <row r="208" customFormat="false" ht="15" hidden="false" customHeight="false" outlineLevel="0" collapsed="false">
      <c r="A208" s="15"/>
      <c r="B208" s="15"/>
      <c r="C208" s="15"/>
      <c r="D208" s="16"/>
      <c r="E208" s="16"/>
      <c r="F208" s="17"/>
      <c r="G208" s="15"/>
      <c r="H208" s="16"/>
      <c r="I208" s="17"/>
      <c r="J208" s="12" t="str">
        <f aca="false">IF(H208="","",H208+Summary!$B$4)</f>
        <v/>
      </c>
      <c r="K208" s="17"/>
      <c r="L208" s="16"/>
      <c r="M208" s="13" t="str">
        <f aca="false">IF(I208="","",I208-N(K208))</f>
        <v/>
      </c>
      <c r="N208" s="14" t="str">
        <f aca="true">IF(A208="","",IF(I208="",IF(E208&lt;&gt;"","To invoice","In progress"),IF(M208&lt;=0,"Paid",IF(TODAY()&gt;J208,"Overdue","Awaiting payment"))))</f>
        <v/>
      </c>
    </row>
    <row r="209" customFormat="false" ht="15" hidden="false" customHeight="false" outlineLevel="0" collapsed="false">
      <c r="A209" s="15"/>
      <c r="B209" s="15"/>
      <c r="C209" s="15"/>
      <c r="D209" s="16"/>
      <c r="E209" s="16"/>
      <c r="F209" s="17"/>
      <c r="G209" s="15"/>
      <c r="H209" s="16"/>
      <c r="I209" s="17"/>
      <c r="J209" s="12" t="str">
        <f aca="false">IF(H209="","",H209+Summary!$B$4)</f>
        <v/>
      </c>
      <c r="K209" s="17"/>
      <c r="L209" s="16"/>
      <c r="M209" s="13" t="str">
        <f aca="false">IF(I209="","",I209-N(K209))</f>
        <v/>
      </c>
      <c r="N209" s="14" t="str">
        <f aca="true">IF(A209="","",IF(I209="",IF(E209&lt;&gt;"","To invoice","In progress"),IF(M209&lt;=0,"Paid",IF(TODAY()&gt;J209,"Overdue","Awaiting payment"))))</f>
        <v/>
      </c>
    </row>
    <row r="210" customFormat="false" ht="15" hidden="false" customHeight="false" outlineLevel="0" collapsed="false">
      <c r="A210" s="15"/>
      <c r="B210" s="15"/>
      <c r="C210" s="15"/>
      <c r="D210" s="16"/>
      <c r="E210" s="16"/>
      <c r="F210" s="17"/>
      <c r="G210" s="15"/>
      <c r="H210" s="16"/>
      <c r="I210" s="17"/>
      <c r="J210" s="12" t="str">
        <f aca="false">IF(H210="","",H210+Summary!$B$4)</f>
        <v/>
      </c>
      <c r="K210" s="17"/>
      <c r="L210" s="16"/>
      <c r="M210" s="13" t="str">
        <f aca="false">IF(I210="","",I210-N(K210))</f>
        <v/>
      </c>
      <c r="N210" s="14" t="str">
        <f aca="true">IF(A210="","",IF(I210="",IF(E210&lt;&gt;"","To invoice","In progress"),IF(M210&lt;=0,"Paid",IF(TODAY()&gt;J210,"Overdue","Awaiting payment"))))</f>
        <v/>
      </c>
    </row>
    <row r="211" customFormat="false" ht="15" hidden="false" customHeight="false" outlineLevel="0" collapsed="false">
      <c r="A211" s="15"/>
      <c r="B211" s="15"/>
      <c r="C211" s="15"/>
      <c r="D211" s="16"/>
      <c r="E211" s="16"/>
      <c r="F211" s="17"/>
      <c r="G211" s="15"/>
      <c r="H211" s="16"/>
      <c r="I211" s="17"/>
      <c r="J211" s="12" t="str">
        <f aca="false">IF(H211="","",H211+Summary!$B$4)</f>
        <v/>
      </c>
      <c r="K211" s="17"/>
      <c r="L211" s="16"/>
      <c r="M211" s="13" t="str">
        <f aca="false">IF(I211="","",I211-N(K211))</f>
        <v/>
      </c>
      <c r="N211" s="14" t="str">
        <f aca="true">IF(A211="","",IF(I211="",IF(E211&lt;&gt;"","To invoice","In progress"),IF(M211&lt;=0,"Paid",IF(TODAY()&gt;J211,"Overdue","Awaiting payment"))))</f>
        <v/>
      </c>
    </row>
    <row r="212" customFormat="false" ht="15" hidden="false" customHeight="false" outlineLevel="0" collapsed="false">
      <c r="A212" s="15"/>
      <c r="B212" s="15"/>
      <c r="C212" s="15"/>
      <c r="D212" s="16"/>
      <c r="E212" s="16"/>
      <c r="F212" s="17"/>
      <c r="G212" s="15"/>
      <c r="H212" s="16"/>
      <c r="I212" s="17"/>
      <c r="J212" s="12" t="str">
        <f aca="false">IF(H212="","",H212+Summary!$B$4)</f>
        <v/>
      </c>
      <c r="K212" s="17"/>
      <c r="L212" s="16"/>
      <c r="M212" s="13" t="str">
        <f aca="false">IF(I212="","",I212-N(K212))</f>
        <v/>
      </c>
      <c r="N212" s="14" t="str">
        <f aca="true">IF(A212="","",IF(I212="",IF(E212&lt;&gt;"","To invoice","In progress"),IF(M212&lt;=0,"Paid",IF(TODAY()&gt;J212,"Overdue","Awaiting payment"))))</f>
        <v/>
      </c>
    </row>
    <row r="213" customFormat="false" ht="15" hidden="false" customHeight="false" outlineLevel="0" collapsed="false">
      <c r="A213" s="15"/>
      <c r="B213" s="15"/>
      <c r="C213" s="15"/>
      <c r="D213" s="16"/>
      <c r="E213" s="16"/>
      <c r="F213" s="17"/>
      <c r="G213" s="15"/>
      <c r="H213" s="16"/>
      <c r="I213" s="17"/>
      <c r="J213" s="12" t="str">
        <f aca="false">IF(H213="","",H213+Summary!$B$4)</f>
        <v/>
      </c>
      <c r="K213" s="17"/>
      <c r="L213" s="16"/>
      <c r="M213" s="13" t="str">
        <f aca="false">IF(I213="","",I213-N(K213))</f>
        <v/>
      </c>
      <c r="N213" s="14" t="str">
        <f aca="true">IF(A213="","",IF(I213="",IF(E213&lt;&gt;"","To invoice","In progress"),IF(M213&lt;=0,"Paid",IF(TODAY()&gt;J213,"Overdue","Awaiting payment"))))</f>
        <v/>
      </c>
    </row>
    <row r="214" customFormat="false" ht="15" hidden="false" customHeight="false" outlineLevel="0" collapsed="false">
      <c r="A214" s="15"/>
      <c r="B214" s="15"/>
      <c r="C214" s="15"/>
      <c r="D214" s="16"/>
      <c r="E214" s="16"/>
      <c r="F214" s="17"/>
      <c r="G214" s="15"/>
      <c r="H214" s="16"/>
      <c r="I214" s="17"/>
      <c r="J214" s="12" t="str">
        <f aca="false">IF(H214="","",H214+Summary!$B$4)</f>
        <v/>
      </c>
      <c r="K214" s="17"/>
      <c r="L214" s="16"/>
      <c r="M214" s="13" t="str">
        <f aca="false">IF(I214="","",I214-N(K214))</f>
        <v/>
      </c>
      <c r="N214" s="14" t="str">
        <f aca="true">IF(A214="","",IF(I214="",IF(E214&lt;&gt;"","To invoice","In progress"),IF(M214&lt;=0,"Paid",IF(TODAY()&gt;J214,"Overdue","Awaiting payment"))))</f>
        <v/>
      </c>
    </row>
    <row r="215" customFormat="false" ht="15" hidden="false" customHeight="false" outlineLevel="0" collapsed="false">
      <c r="A215" s="15"/>
      <c r="B215" s="15"/>
      <c r="C215" s="15"/>
      <c r="D215" s="16"/>
      <c r="E215" s="16"/>
      <c r="F215" s="17"/>
      <c r="G215" s="15"/>
      <c r="H215" s="16"/>
      <c r="I215" s="17"/>
      <c r="J215" s="12" t="str">
        <f aca="false">IF(H215="","",H215+Summary!$B$4)</f>
        <v/>
      </c>
      <c r="K215" s="17"/>
      <c r="L215" s="16"/>
      <c r="M215" s="13" t="str">
        <f aca="false">IF(I215="","",I215-N(K215))</f>
        <v/>
      </c>
      <c r="N215" s="14" t="str">
        <f aca="true">IF(A215="","",IF(I215="",IF(E215&lt;&gt;"","To invoice","In progress"),IF(M215&lt;=0,"Paid",IF(TODAY()&gt;J215,"Overdue","Awaiting payment"))))</f>
        <v/>
      </c>
    </row>
    <row r="216" customFormat="false" ht="15" hidden="false" customHeight="false" outlineLevel="0" collapsed="false">
      <c r="A216" s="15"/>
      <c r="B216" s="15"/>
      <c r="C216" s="15"/>
      <c r="D216" s="16"/>
      <c r="E216" s="16"/>
      <c r="F216" s="17"/>
      <c r="G216" s="15"/>
      <c r="H216" s="16"/>
      <c r="I216" s="17"/>
      <c r="J216" s="12" t="str">
        <f aca="false">IF(H216="","",H216+Summary!$B$4)</f>
        <v/>
      </c>
      <c r="K216" s="17"/>
      <c r="L216" s="16"/>
      <c r="M216" s="13" t="str">
        <f aca="false">IF(I216="","",I216-N(K216))</f>
        <v/>
      </c>
      <c r="N216" s="14" t="str">
        <f aca="true">IF(A216="","",IF(I216="",IF(E216&lt;&gt;"","To invoice","In progress"),IF(M216&lt;=0,"Paid",IF(TODAY()&gt;J216,"Overdue","Awaiting payment"))))</f>
        <v/>
      </c>
    </row>
    <row r="217" customFormat="false" ht="15" hidden="false" customHeight="false" outlineLevel="0" collapsed="false">
      <c r="A217" s="15"/>
      <c r="B217" s="15"/>
      <c r="C217" s="15"/>
      <c r="D217" s="16"/>
      <c r="E217" s="16"/>
      <c r="F217" s="17"/>
      <c r="G217" s="15"/>
      <c r="H217" s="16"/>
      <c r="I217" s="17"/>
      <c r="J217" s="12" t="str">
        <f aca="false">IF(H217="","",H217+Summary!$B$4)</f>
        <v/>
      </c>
      <c r="K217" s="17"/>
      <c r="L217" s="16"/>
      <c r="M217" s="13" t="str">
        <f aca="false">IF(I217="","",I217-N(K217))</f>
        <v/>
      </c>
      <c r="N217" s="14" t="str">
        <f aca="true">IF(A217="","",IF(I217="",IF(E217&lt;&gt;"","To invoice","In progress"),IF(M217&lt;=0,"Paid",IF(TODAY()&gt;J217,"Overdue","Awaiting payment"))))</f>
        <v/>
      </c>
    </row>
    <row r="218" customFormat="false" ht="15" hidden="false" customHeight="false" outlineLevel="0" collapsed="false">
      <c r="A218" s="15"/>
      <c r="B218" s="15"/>
      <c r="C218" s="15"/>
      <c r="D218" s="16"/>
      <c r="E218" s="16"/>
      <c r="F218" s="17"/>
      <c r="G218" s="15"/>
      <c r="H218" s="16"/>
      <c r="I218" s="17"/>
      <c r="J218" s="12" t="str">
        <f aca="false">IF(H218="","",H218+Summary!$B$4)</f>
        <v/>
      </c>
      <c r="K218" s="17"/>
      <c r="L218" s="16"/>
      <c r="M218" s="13" t="str">
        <f aca="false">IF(I218="","",I218-N(K218))</f>
        <v/>
      </c>
      <c r="N218" s="14" t="str">
        <f aca="true">IF(A218="","",IF(I218="",IF(E218&lt;&gt;"","To invoice","In progress"),IF(M218&lt;=0,"Paid",IF(TODAY()&gt;J218,"Overdue","Awaiting payment"))))</f>
        <v/>
      </c>
    </row>
    <row r="219" customFormat="false" ht="15" hidden="false" customHeight="false" outlineLevel="0" collapsed="false">
      <c r="A219" s="15"/>
      <c r="B219" s="15"/>
      <c r="C219" s="15"/>
      <c r="D219" s="16"/>
      <c r="E219" s="16"/>
      <c r="F219" s="17"/>
      <c r="G219" s="15"/>
      <c r="H219" s="16"/>
      <c r="I219" s="17"/>
      <c r="J219" s="12" t="str">
        <f aca="false">IF(H219="","",H219+Summary!$B$4)</f>
        <v/>
      </c>
      <c r="K219" s="17"/>
      <c r="L219" s="16"/>
      <c r="M219" s="13" t="str">
        <f aca="false">IF(I219="","",I219-N(K219))</f>
        <v/>
      </c>
      <c r="N219" s="14" t="str">
        <f aca="true">IF(A219="","",IF(I219="",IF(E219&lt;&gt;"","To invoice","In progress"),IF(M219&lt;=0,"Paid",IF(TODAY()&gt;J219,"Overdue","Awaiting payment"))))</f>
        <v/>
      </c>
    </row>
    <row r="220" customFormat="false" ht="15" hidden="false" customHeight="false" outlineLevel="0" collapsed="false">
      <c r="A220" s="15"/>
      <c r="B220" s="15"/>
      <c r="C220" s="15"/>
      <c r="D220" s="16"/>
      <c r="E220" s="16"/>
      <c r="F220" s="17"/>
      <c r="G220" s="15"/>
      <c r="H220" s="16"/>
      <c r="I220" s="17"/>
      <c r="J220" s="12" t="str">
        <f aca="false">IF(H220="","",H220+Summary!$B$4)</f>
        <v/>
      </c>
      <c r="K220" s="17"/>
      <c r="L220" s="16"/>
      <c r="M220" s="13" t="str">
        <f aca="false">IF(I220="","",I220-N(K220))</f>
        <v/>
      </c>
      <c r="N220" s="14" t="str">
        <f aca="true">IF(A220="","",IF(I220="",IF(E220&lt;&gt;"","To invoice","In progress"),IF(M220&lt;=0,"Paid",IF(TODAY()&gt;J220,"Overdue","Awaiting payment"))))</f>
        <v/>
      </c>
    </row>
    <row r="221" customFormat="false" ht="15" hidden="false" customHeight="false" outlineLevel="0" collapsed="false">
      <c r="A221" s="15"/>
      <c r="B221" s="15"/>
      <c r="C221" s="15"/>
      <c r="D221" s="16"/>
      <c r="E221" s="16"/>
      <c r="F221" s="17"/>
      <c r="G221" s="15"/>
      <c r="H221" s="16"/>
      <c r="I221" s="17"/>
      <c r="J221" s="12" t="str">
        <f aca="false">IF(H221="","",H221+Summary!$B$4)</f>
        <v/>
      </c>
      <c r="K221" s="17"/>
      <c r="L221" s="16"/>
      <c r="M221" s="13" t="str">
        <f aca="false">IF(I221="","",I221-N(K221))</f>
        <v/>
      </c>
      <c r="N221" s="14" t="str">
        <f aca="true">IF(A221="","",IF(I221="",IF(E221&lt;&gt;"","To invoice","In progress"),IF(M221&lt;=0,"Paid",IF(TODAY()&gt;J221,"Overdue","Awaiting payment"))))</f>
        <v/>
      </c>
    </row>
    <row r="222" customFormat="false" ht="15" hidden="false" customHeight="false" outlineLevel="0" collapsed="false">
      <c r="A222" s="15"/>
      <c r="B222" s="15"/>
      <c r="C222" s="15"/>
      <c r="D222" s="16"/>
      <c r="E222" s="16"/>
      <c r="F222" s="17"/>
      <c r="G222" s="15"/>
      <c r="H222" s="16"/>
      <c r="I222" s="17"/>
      <c r="J222" s="12" t="str">
        <f aca="false">IF(H222="","",H222+Summary!$B$4)</f>
        <v/>
      </c>
      <c r="K222" s="17"/>
      <c r="L222" s="16"/>
      <c r="M222" s="13" t="str">
        <f aca="false">IF(I222="","",I222-N(K222))</f>
        <v/>
      </c>
      <c r="N222" s="14" t="str">
        <f aca="true">IF(A222="","",IF(I222="",IF(E222&lt;&gt;"","To invoice","In progress"),IF(M222&lt;=0,"Paid",IF(TODAY()&gt;J222,"Overdue","Awaiting payment"))))</f>
        <v/>
      </c>
    </row>
    <row r="223" customFormat="false" ht="15" hidden="false" customHeight="false" outlineLevel="0" collapsed="false">
      <c r="A223" s="15"/>
      <c r="B223" s="15"/>
      <c r="C223" s="15"/>
      <c r="D223" s="16"/>
      <c r="E223" s="16"/>
      <c r="F223" s="17"/>
      <c r="G223" s="15"/>
      <c r="H223" s="16"/>
      <c r="I223" s="17"/>
      <c r="J223" s="12" t="str">
        <f aca="false">IF(H223="","",H223+Summary!$B$4)</f>
        <v/>
      </c>
      <c r="K223" s="17"/>
      <c r="L223" s="16"/>
      <c r="M223" s="13" t="str">
        <f aca="false">IF(I223="","",I223-N(K223))</f>
        <v/>
      </c>
      <c r="N223" s="14" t="str">
        <f aca="true">IF(A223="","",IF(I223="",IF(E223&lt;&gt;"","To invoice","In progress"),IF(M223&lt;=0,"Paid",IF(TODAY()&gt;J223,"Overdue","Awaiting payment"))))</f>
        <v/>
      </c>
    </row>
    <row r="224" customFormat="false" ht="15" hidden="false" customHeight="false" outlineLevel="0" collapsed="false">
      <c r="A224" s="15"/>
      <c r="B224" s="15"/>
      <c r="C224" s="15"/>
      <c r="D224" s="16"/>
      <c r="E224" s="16"/>
      <c r="F224" s="17"/>
      <c r="G224" s="15"/>
      <c r="H224" s="16"/>
      <c r="I224" s="17"/>
      <c r="J224" s="12" t="str">
        <f aca="false">IF(H224="","",H224+Summary!$B$4)</f>
        <v/>
      </c>
      <c r="K224" s="17"/>
      <c r="L224" s="16"/>
      <c r="M224" s="13" t="str">
        <f aca="false">IF(I224="","",I224-N(K224))</f>
        <v/>
      </c>
      <c r="N224" s="14" t="str">
        <f aca="true">IF(A224="","",IF(I224="",IF(E224&lt;&gt;"","To invoice","In progress"),IF(M224&lt;=0,"Paid",IF(TODAY()&gt;J224,"Overdue","Awaiting payment"))))</f>
        <v/>
      </c>
    </row>
    <row r="225" customFormat="false" ht="15" hidden="false" customHeight="false" outlineLevel="0" collapsed="false">
      <c r="A225" s="15"/>
      <c r="B225" s="15"/>
      <c r="C225" s="15"/>
      <c r="D225" s="16"/>
      <c r="E225" s="16"/>
      <c r="F225" s="17"/>
      <c r="G225" s="15"/>
      <c r="H225" s="16"/>
      <c r="I225" s="17"/>
      <c r="J225" s="12" t="str">
        <f aca="false">IF(H225="","",H225+Summary!$B$4)</f>
        <v/>
      </c>
      <c r="K225" s="17"/>
      <c r="L225" s="16"/>
      <c r="M225" s="13" t="str">
        <f aca="false">IF(I225="","",I225-N(K225))</f>
        <v/>
      </c>
      <c r="N225" s="14" t="str">
        <f aca="true">IF(A225="","",IF(I225="",IF(E225&lt;&gt;"","To invoice","In progress"),IF(M225&lt;=0,"Paid",IF(TODAY()&gt;J225,"Overdue","Awaiting payment"))))</f>
        <v/>
      </c>
    </row>
    <row r="226" customFormat="false" ht="15" hidden="false" customHeight="false" outlineLevel="0" collapsed="false">
      <c r="A226" s="15"/>
      <c r="B226" s="15"/>
      <c r="C226" s="15"/>
      <c r="D226" s="16"/>
      <c r="E226" s="16"/>
      <c r="F226" s="17"/>
      <c r="G226" s="15"/>
      <c r="H226" s="16"/>
      <c r="I226" s="17"/>
      <c r="J226" s="12" t="str">
        <f aca="false">IF(H226="","",H226+Summary!$B$4)</f>
        <v/>
      </c>
      <c r="K226" s="17"/>
      <c r="L226" s="16"/>
      <c r="M226" s="13" t="str">
        <f aca="false">IF(I226="","",I226-N(K226))</f>
        <v/>
      </c>
      <c r="N226" s="14" t="str">
        <f aca="true">IF(A226="","",IF(I226="",IF(E226&lt;&gt;"","To invoice","In progress"),IF(M226&lt;=0,"Paid",IF(TODAY()&gt;J226,"Overdue","Awaiting payment"))))</f>
        <v/>
      </c>
    </row>
    <row r="227" customFormat="false" ht="15" hidden="false" customHeight="false" outlineLevel="0" collapsed="false">
      <c r="A227" s="15"/>
      <c r="B227" s="15"/>
      <c r="C227" s="15"/>
      <c r="D227" s="16"/>
      <c r="E227" s="16"/>
      <c r="F227" s="17"/>
      <c r="G227" s="15"/>
      <c r="H227" s="16"/>
      <c r="I227" s="17"/>
      <c r="J227" s="12" t="str">
        <f aca="false">IF(H227="","",H227+Summary!$B$4)</f>
        <v/>
      </c>
      <c r="K227" s="17"/>
      <c r="L227" s="16"/>
      <c r="M227" s="13" t="str">
        <f aca="false">IF(I227="","",I227-N(K227))</f>
        <v/>
      </c>
      <c r="N227" s="14" t="str">
        <f aca="true">IF(A227="","",IF(I227="",IF(E227&lt;&gt;"","To invoice","In progress"),IF(M227&lt;=0,"Paid",IF(TODAY()&gt;J227,"Overdue","Awaiting payment"))))</f>
        <v/>
      </c>
    </row>
    <row r="228" customFormat="false" ht="15" hidden="false" customHeight="false" outlineLevel="0" collapsed="false">
      <c r="A228" s="15"/>
      <c r="B228" s="15"/>
      <c r="C228" s="15"/>
      <c r="D228" s="16"/>
      <c r="E228" s="16"/>
      <c r="F228" s="17"/>
      <c r="G228" s="15"/>
      <c r="H228" s="16"/>
      <c r="I228" s="17"/>
      <c r="J228" s="12" t="str">
        <f aca="false">IF(H228="","",H228+Summary!$B$4)</f>
        <v/>
      </c>
      <c r="K228" s="17"/>
      <c r="L228" s="16"/>
      <c r="M228" s="13" t="str">
        <f aca="false">IF(I228="","",I228-N(K228))</f>
        <v/>
      </c>
      <c r="N228" s="14" t="str">
        <f aca="true">IF(A228="","",IF(I228="",IF(E228&lt;&gt;"","To invoice","In progress"),IF(M228&lt;=0,"Paid",IF(TODAY()&gt;J228,"Overdue","Awaiting payment"))))</f>
        <v/>
      </c>
    </row>
    <row r="229" customFormat="false" ht="15" hidden="false" customHeight="false" outlineLevel="0" collapsed="false">
      <c r="A229" s="15"/>
      <c r="B229" s="15"/>
      <c r="C229" s="15"/>
      <c r="D229" s="16"/>
      <c r="E229" s="16"/>
      <c r="F229" s="17"/>
      <c r="G229" s="15"/>
      <c r="H229" s="16"/>
      <c r="I229" s="17"/>
      <c r="J229" s="12" t="str">
        <f aca="false">IF(H229="","",H229+Summary!$B$4)</f>
        <v/>
      </c>
      <c r="K229" s="17"/>
      <c r="L229" s="16"/>
      <c r="M229" s="13" t="str">
        <f aca="false">IF(I229="","",I229-N(K229))</f>
        <v/>
      </c>
      <c r="N229" s="14" t="str">
        <f aca="true">IF(A229="","",IF(I229="",IF(E229&lt;&gt;"","To invoice","In progress"),IF(M229&lt;=0,"Paid",IF(TODAY()&gt;J229,"Overdue","Awaiting payment"))))</f>
        <v/>
      </c>
    </row>
    <row r="230" customFormat="false" ht="15" hidden="false" customHeight="false" outlineLevel="0" collapsed="false">
      <c r="A230" s="15"/>
      <c r="B230" s="15"/>
      <c r="C230" s="15"/>
      <c r="D230" s="16"/>
      <c r="E230" s="16"/>
      <c r="F230" s="17"/>
      <c r="G230" s="15"/>
      <c r="H230" s="16"/>
      <c r="I230" s="17"/>
      <c r="J230" s="12" t="str">
        <f aca="false">IF(H230="","",H230+Summary!$B$4)</f>
        <v/>
      </c>
      <c r="K230" s="17"/>
      <c r="L230" s="16"/>
      <c r="M230" s="13" t="str">
        <f aca="false">IF(I230="","",I230-N(K230))</f>
        <v/>
      </c>
      <c r="N230" s="14" t="str">
        <f aca="true">IF(A230="","",IF(I230="",IF(E230&lt;&gt;"","To invoice","In progress"),IF(M230&lt;=0,"Paid",IF(TODAY()&gt;J230,"Overdue","Awaiting payment"))))</f>
        <v/>
      </c>
    </row>
    <row r="231" customFormat="false" ht="15" hidden="false" customHeight="false" outlineLevel="0" collapsed="false">
      <c r="A231" s="15"/>
      <c r="B231" s="15"/>
      <c r="C231" s="15"/>
      <c r="D231" s="16"/>
      <c r="E231" s="16"/>
      <c r="F231" s="17"/>
      <c r="G231" s="15"/>
      <c r="H231" s="16"/>
      <c r="I231" s="17"/>
      <c r="J231" s="12" t="str">
        <f aca="false">IF(H231="","",H231+Summary!$B$4)</f>
        <v/>
      </c>
      <c r="K231" s="17"/>
      <c r="L231" s="16"/>
      <c r="M231" s="13" t="str">
        <f aca="false">IF(I231="","",I231-N(K231))</f>
        <v/>
      </c>
      <c r="N231" s="14" t="str">
        <f aca="true">IF(A231="","",IF(I231="",IF(E231&lt;&gt;"","To invoice","In progress"),IF(M231&lt;=0,"Paid",IF(TODAY()&gt;J231,"Overdue","Awaiting payment"))))</f>
        <v/>
      </c>
    </row>
    <row r="232" customFormat="false" ht="15" hidden="false" customHeight="false" outlineLevel="0" collapsed="false">
      <c r="A232" s="15"/>
      <c r="B232" s="15"/>
      <c r="C232" s="15"/>
      <c r="D232" s="16"/>
      <c r="E232" s="16"/>
      <c r="F232" s="17"/>
      <c r="G232" s="15"/>
      <c r="H232" s="16"/>
      <c r="I232" s="17"/>
      <c r="J232" s="12" t="str">
        <f aca="false">IF(H232="","",H232+Summary!$B$4)</f>
        <v/>
      </c>
      <c r="K232" s="17"/>
      <c r="L232" s="16"/>
      <c r="M232" s="13" t="str">
        <f aca="false">IF(I232="","",I232-N(K232))</f>
        <v/>
      </c>
      <c r="N232" s="14" t="str">
        <f aca="true">IF(A232="","",IF(I232="",IF(E232&lt;&gt;"","To invoice","In progress"),IF(M232&lt;=0,"Paid",IF(TODAY()&gt;J232,"Overdue","Awaiting payment"))))</f>
        <v/>
      </c>
    </row>
    <row r="233" customFormat="false" ht="15" hidden="false" customHeight="false" outlineLevel="0" collapsed="false">
      <c r="A233" s="15"/>
      <c r="B233" s="15"/>
      <c r="C233" s="15"/>
      <c r="D233" s="16"/>
      <c r="E233" s="16"/>
      <c r="F233" s="17"/>
      <c r="G233" s="15"/>
      <c r="H233" s="16"/>
      <c r="I233" s="17"/>
      <c r="J233" s="12" t="str">
        <f aca="false">IF(H233="","",H233+Summary!$B$4)</f>
        <v/>
      </c>
      <c r="K233" s="17"/>
      <c r="L233" s="16"/>
      <c r="M233" s="13" t="str">
        <f aca="false">IF(I233="","",I233-N(K233))</f>
        <v/>
      </c>
      <c r="N233" s="14" t="str">
        <f aca="true">IF(A233="","",IF(I233="",IF(E233&lt;&gt;"","To invoice","In progress"),IF(M233&lt;=0,"Paid",IF(TODAY()&gt;J233,"Overdue","Awaiting payment"))))</f>
        <v/>
      </c>
    </row>
    <row r="234" customFormat="false" ht="15" hidden="false" customHeight="false" outlineLevel="0" collapsed="false">
      <c r="A234" s="15"/>
      <c r="B234" s="15"/>
      <c r="C234" s="15"/>
      <c r="D234" s="16"/>
      <c r="E234" s="16"/>
      <c r="F234" s="17"/>
      <c r="G234" s="15"/>
      <c r="H234" s="16"/>
      <c r="I234" s="17"/>
      <c r="J234" s="12" t="str">
        <f aca="false">IF(H234="","",H234+Summary!$B$4)</f>
        <v/>
      </c>
      <c r="K234" s="17"/>
      <c r="L234" s="16"/>
      <c r="M234" s="13" t="str">
        <f aca="false">IF(I234="","",I234-N(K234))</f>
        <v/>
      </c>
      <c r="N234" s="14" t="str">
        <f aca="true">IF(A234="","",IF(I234="",IF(E234&lt;&gt;"","To invoice","In progress"),IF(M234&lt;=0,"Paid",IF(TODAY()&gt;J234,"Overdue","Awaiting payment"))))</f>
        <v/>
      </c>
    </row>
    <row r="235" customFormat="false" ht="15" hidden="false" customHeight="false" outlineLevel="0" collapsed="false">
      <c r="A235" s="15"/>
      <c r="B235" s="15"/>
      <c r="C235" s="15"/>
      <c r="D235" s="16"/>
      <c r="E235" s="16"/>
      <c r="F235" s="17"/>
      <c r="G235" s="15"/>
      <c r="H235" s="16"/>
      <c r="I235" s="17"/>
      <c r="J235" s="12" t="str">
        <f aca="false">IF(H235="","",H235+Summary!$B$4)</f>
        <v/>
      </c>
      <c r="K235" s="17"/>
      <c r="L235" s="16"/>
      <c r="M235" s="13" t="str">
        <f aca="false">IF(I235="","",I235-N(K235))</f>
        <v/>
      </c>
      <c r="N235" s="14" t="str">
        <f aca="true">IF(A235="","",IF(I235="",IF(E235&lt;&gt;"","To invoice","In progress"),IF(M235&lt;=0,"Paid",IF(TODAY()&gt;J235,"Overdue","Awaiting payment"))))</f>
        <v/>
      </c>
    </row>
    <row r="236" customFormat="false" ht="15" hidden="false" customHeight="false" outlineLevel="0" collapsed="false">
      <c r="A236" s="15"/>
      <c r="B236" s="15"/>
      <c r="C236" s="15"/>
      <c r="D236" s="16"/>
      <c r="E236" s="16"/>
      <c r="F236" s="17"/>
      <c r="G236" s="15"/>
      <c r="H236" s="16"/>
      <c r="I236" s="17"/>
      <c r="J236" s="12" t="str">
        <f aca="false">IF(H236="","",H236+Summary!$B$4)</f>
        <v/>
      </c>
      <c r="K236" s="17"/>
      <c r="L236" s="16"/>
      <c r="M236" s="13" t="str">
        <f aca="false">IF(I236="","",I236-N(K236))</f>
        <v/>
      </c>
      <c r="N236" s="14" t="str">
        <f aca="true">IF(A236="","",IF(I236="",IF(E236&lt;&gt;"","To invoice","In progress"),IF(M236&lt;=0,"Paid",IF(TODAY()&gt;J236,"Overdue","Awaiting payment"))))</f>
        <v/>
      </c>
    </row>
    <row r="237" customFormat="false" ht="15" hidden="false" customHeight="false" outlineLevel="0" collapsed="false">
      <c r="A237" s="15"/>
      <c r="B237" s="15"/>
      <c r="C237" s="15"/>
      <c r="D237" s="16"/>
      <c r="E237" s="16"/>
      <c r="F237" s="17"/>
      <c r="G237" s="15"/>
      <c r="H237" s="16"/>
      <c r="I237" s="17"/>
      <c r="J237" s="12" t="str">
        <f aca="false">IF(H237="","",H237+Summary!$B$4)</f>
        <v/>
      </c>
      <c r="K237" s="17"/>
      <c r="L237" s="16"/>
      <c r="M237" s="13" t="str">
        <f aca="false">IF(I237="","",I237-N(K237))</f>
        <v/>
      </c>
      <c r="N237" s="14" t="str">
        <f aca="true">IF(A237="","",IF(I237="",IF(E237&lt;&gt;"","To invoice","In progress"),IF(M237&lt;=0,"Paid",IF(TODAY()&gt;J237,"Overdue","Awaiting payment"))))</f>
        <v/>
      </c>
    </row>
    <row r="238" customFormat="false" ht="15" hidden="false" customHeight="false" outlineLevel="0" collapsed="false">
      <c r="A238" s="15"/>
      <c r="B238" s="15"/>
      <c r="C238" s="15"/>
      <c r="D238" s="16"/>
      <c r="E238" s="16"/>
      <c r="F238" s="17"/>
      <c r="G238" s="15"/>
      <c r="H238" s="16"/>
      <c r="I238" s="17"/>
      <c r="J238" s="12" t="str">
        <f aca="false">IF(H238="","",H238+Summary!$B$4)</f>
        <v/>
      </c>
      <c r="K238" s="17"/>
      <c r="L238" s="16"/>
      <c r="M238" s="13" t="str">
        <f aca="false">IF(I238="","",I238-N(K238))</f>
        <v/>
      </c>
      <c r="N238" s="14" t="str">
        <f aca="true">IF(A238="","",IF(I238="",IF(E238&lt;&gt;"","To invoice","In progress"),IF(M238&lt;=0,"Paid",IF(TODAY()&gt;J238,"Overdue","Awaiting payment"))))</f>
        <v/>
      </c>
    </row>
    <row r="239" customFormat="false" ht="15" hidden="false" customHeight="false" outlineLevel="0" collapsed="false">
      <c r="A239" s="15"/>
      <c r="B239" s="15"/>
      <c r="C239" s="15"/>
      <c r="D239" s="16"/>
      <c r="E239" s="16"/>
      <c r="F239" s="17"/>
      <c r="G239" s="15"/>
      <c r="H239" s="16"/>
      <c r="I239" s="17"/>
      <c r="J239" s="12" t="str">
        <f aca="false">IF(H239="","",H239+Summary!$B$4)</f>
        <v/>
      </c>
      <c r="K239" s="17"/>
      <c r="L239" s="16"/>
      <c r="M239" s="13" t="str">
        <f aca="false">IF(I239="","",I239-N(K239))</f>
        <v/>
      </c>
      <c r="N239" s="14" t="str">
        <f aca="true">IF(A239="","",IF(I239="",IF(E239&lt;&gt;"","To invoice","In progress"),IF(M239&lt;=0,"Paid",IF(TODAY()&gt;J239,"Overdue","Awaiting payment"))))</f>
        <v/>
      </c>
    </row>
    <row r="240" customFormat="false" ht="15" hidden="false" customHeight="false" outlineLevel="0" collapsed="false">
      <c r="A240" s="15"/>
      <c r="B240" s="15"/>
      <c r="C240" s="15"/>
      <c r="D240" s="16"/>
      <c r="E240" s="16"/>
      <c r="F240" s="17"/>
      <c r="G240" s="15"/>
      <c r="H240" s="16"/>
      <c r="I240" s="17"/>
      <c r="J240" s="12" t="str">
        <f aca="false">IF(H240="","",H240+Summary!$B$4)</f>
        <v/>
      </c>
      <c r="K240" s="17"/>
      <c r="L240" s="16"/>
      <c r="M240" s="13" t="str">
        <f aca="false">IF(I240="","",I240-N(K240))</f>
        <v/>
      </c>
      <c r="N240" s="14" t="str">
        <f aca="true">IF(A240="","",IF(I240="",IF(E240&lt;&gt;"","To invoice","In progress"),IF(M240&lt;=0,"Paid",IF(TODAY()&gt;J240,"Overdue","Awaiting payment"))))</f>
        <v/>
      </c>
    </row>
    <row r="241" customFormat="false" ht="15" hidden="false" customHeight="false" outlineLevel="0" collapsed="false">
      <c r="A241" s="15"/>
      <c r="B241" s="15"/>
      <c r="C241" s="15"/>
      <c r="D241" s="16"/>
      <c r="E241" s="16"/>
      <c r="F241" s="17"/>
      <c r="G241" s="15"/>
      <c r="H241" s="16"/>
      <c r="I241" s="17"/>
      <c r="J241" s="12" t="str">
        <f aca="false">IF(H241="","",H241+Summary!$B$4)</f>
        <v/>
      </c>
      <c r="K241" s="17"/>
      <c r="L241" s="16"/>
      <c r="M241" s="13" t="str">
        <f aca="false">IF(I241="","",I241-N(K241))</f>
        <v/>
      </c>
      <c r="N241" s="14" t="str">
        <f aca="true">IF(A241="","",IF(I241="",IF(E241&lt;&gt;"","To invoice","In progress"),IF(M241&lt;=0,"Paid",IF(TODAY()&gt;J241,"Overdue","Awaiting payment"))))</f>
        <v/>
      </c>
    </row>
    <row r="242" customFormat="false" ht="15" hidden="false" customHeight="false" outlineLevel="0" collapsed="false">
      <c r="A242" s="15"/>
      <c r="B242" s="15"/>
      <c r="C242" s="15"/>
      <c r="D242" s="16"/>
      <c r="E242" s="16"/>
      <c r="F242" s="17"/>
      <c r="G242" s="15"/>
      <c r="H242" s="16"/>
      <c r="I242" s="17"/>
      <c r="J242" s="12" t="str">
        <f aca="false">IF(H242="","",H242+Summary!$B$4)</f>
        <v/>
      </c>
      <c r="K242" s="17"/>
      <c r="L242" s="16"/>
      <c r="M242" s="13" t="str">
        <f aca="false">IF(I242="","",I242-N(K242))</f>
        <v/>
      </c>
      <c r="N242" s="14" t="str">
        <f aca="true">IF(A242="","",IF(I242="",IF(E242&lt;&gt;"","To invoice","In progress"),IF(M242&lt;=0,"Paid",IF(TODAY()&gt;J242,"Overdue","Awaiting payment"))))</f>
        <v/>
      </c>
    </row>
    <row r="243" customFormat="false" ht="15" hidden="false" customHeight="false" outlineLevel="0" collapsed="false">
      <c r="A243" s="15"/>
      <c r="B243" s="15"/>
      <c r="C243" s="15"/>
      <c r="D243" s="16"/>
      <c r="E243" s="16"/>
      <c r="F243" s="17"/>
      <c r="G243" s="15"/>
      <c r="H243" s="16"/>
      <c r="I243" s="17"/>
      <c r="J243" s="12" t="str">
        <f aca="false">IF(H243="","",H243+Summary!$B$4)</f>
        <v/>
      </c>
      <c r="K243" s="17"/>
      <c r="L243" s="16"/>
      <c r="M243" s="13" t="str">
        <f aca="false">IF(I243="","",I243-N(K243))</f>
        <v/>
      </c>
      <c r="N243" s="14" t="str">
        <f aca="true">IF(A243="","",IF(I243="",IF(E243&lt;&gt;"","To invoice","In progress"),IF(M243&lt;=0,"Paid",IF(TODAY()&gt;J243,"Overdue","Awaiting payment"))))</f>
        <v/>
      </c>
    </row>
    <row r="244" customFormat="false" ht="15" hidden="false" customHeight="false" outlineLevel="0" collapsed="false">
      <c r="A244" s="15"/>
      <c r="B244" s="15"/>
      <c r="C244" s="15"/>
      <c r="D244" s="16"/>
      <c r="E244" s="16"/>
      <c r="F244" s="17"/>
      <c r="G244" s="15"/>
      <c r="H244" s="16"/>
      <c r="I244" s="17"/>
      <c r="J244" s="12" t="str">
        <f aca="false">IF(H244="","",H244+Summary!$B$4)</f>
        <v/>
      </c>
      <c r="K244" s="17"/>
      <c r="L244" s="16"/>
      <c r="M244" s="13" t="str">
        <f aca="false">IF(I244="","",I244-N(K244))</f>
        <v/>
      </c>
      <c r="N244" s="14" t="str">
        <f aca="true">IF(A244="","",IF(I244="",IF(E244&lt;&gt;"","To invoice","In progress"),IF(M244&lt;=0,"Paid",IF(TODAY()&gt;J244,"Overdue","Awaiting payment"))))</f>
        <v/>
      </c>
    </row>
    <row r="245" customFormat="false" ht="15" hidden="false" customHeight="false" outlineLevel="0" collapsed="false">
      <c r="A245" s="15"/>
      <c r="B245" s="15"/>
      <c r="C245" s="15"/>
      <c r="D245" s="16"/>
      <c r="E245" s="16"/>
      <c r="F245" s="17"/>
      <c r="G245" s="15"/>
      <c r="H245" s="16"/>
      <c r="I245" s="17"/>
      <c r="J245" s="12" t="str">
        <f aca="false">IF(H245="","",H245+Summary!$B$4)</f>
        <v/>
      </c>
      <c r="K245" s="17"/>
      <c r="L245" s="16"/>
      <c r="M245" s="13" t="str">
        <f aca="false">IF(I245="","",I245-N(K245))</f>
        <v/>
      </c>
      <c r="N245" s="14" t="str">
        <f aca="true">IF(A245="","",IF(I245="",IF(E245&lt;&gt;"","To invoice","In progress"),IF(M245&lt;=0,"Paid",IF(TODAY()&gt;J245,"Overdue","Awaiting payment"))))</f>
        <v/>
      </c>
    </row>
    <row r="246" customFormat="false" ht="15" hidden="false" customHeight="false" outlineLevel="0" collapsed="false">
      <c r="A246" s="15"/>
      <c r="B246" s="15"/>
      <c r="C246" s="15"/>
      <c r="D246" s="16"/>
      <c r="E246" s="16"/>
      <c r="F246" s="17"/>
      <c r="G246" s="15"/>
      <c r="H246" s="16"/>
      <c r="I246" s="17"/>
      <c r="J246" s="12" t="str">
        <f aca="false">IF(H246="","",H246+Summary!$B$4)</f>
        <v/>
      </c>
      <c r="K246" s="17"/>
      <c r="L246" s="16"/>
      <c r="M246" s="13" t="str">
        <f aca="false">IF(I246="","",I246-N(K246))</f>
        <v/>
      </c>
      <c r="N246" s="14" t="str">
        <f aca="true">IF(A246="","",IF(I246="",IF(E246&lt;&gt;"","To invoice","In progress"),IF(M246&lt;=0,"Paid",IF(TODAY()&gt;J246,"Overdue","Awaiting payment"))))</f>
        <v/>
      </c>
    </row>
    <row r="247" customFormat="false" ht="15" hidden="false" customHeight="false" outlineLevel="0" collapsed="false">
      <c r="A247" s="15"/>
      <c r="B247" s="15"/>
      <c r="C247" s="15"/>
      <c r="D247" s="16"/>
      <c r="E247" s="16"/>
      <c r="F247" s="17"/>
      <c r="G247" s="15"/>
      <c r="H247" s="16"/>
      <c r="I247" s="17"/>
      <c r="J247" s="12" t="str">
        <f aca="false">IF(H247="","",H247+Summary!$B$4)</f>
        <v/>
      </c>
      <c r="K247" s="17"/>
      <c r="L247" s="16"/>
      <c r="M247" s="13" t="str">
        <f aca="false">IF(I247="","",I247-N(K247))</f>
        <v/>
      </c>
      <c r="N247" s="14" t="str">
        <f aca="true">IF(A247="","",IF(I247="",IF(E247&lt;&gt;"","To invoice","In progress"),IF(M247&lt;=0,"Paid",IF(TODAY()&gt;J247,"Overdue","Awaiting payment"))))</f>
        <v/>
      </c>
    </row>
    <row r="248" customFormat="false" ht="15" hidden="false" customHeight="false" outlineLevel="0" collapsed="false">
      <c r="A248" s="15"/>
      <c r="B248" s="15"/>
      <c r="C248" s="15"/>
      <c r="D248" s="16"/>
      <c r="E248" s="16"/>
      <c r="F248" s="17"/>
      <c r="G248" s="15"/>
      <c r="H248" s="16"/>
      <c r="I248" s="17"/>
      <c r="J248" s="12" t="str">
        <f aca="false">IF(H248="","",H248+Summary!$B$4)</f>
        <v/>
      </c>
      <c r="K248" s="17"/>
      <c r="L248" s="16"/>
      <c r="M248" s="13" t="str">
        <f aca="false">IF(I248="","",I248-N(K248))</f>
        <v/>
      </c>
      <c r="N248" s="14" t="str">
        <f aca="true">IF(A248="","",IF(I248="",IF(E248&lt;&gt;"","To invoice","In progress"),IF(M248&lt;=0,"Paid",IF(TODAY()&gt;J248,"Overdue","Awaiting payment"))))</f>
        <v/>
      </c>
    </row>
    <row r="249" customFormat="false" ht="15" hidden="false" customHeight="false" outlineLevel="0" collapsed="false">
      <c r="A249" s="15"/>
      <c r="B249" s="15"/>
      <c r="C249" s="15"/>
      <c r="D249" s="16"/>
      <c r="E249" s="16"/>
      <c r="F249" s="17"/>
      <c r="G249" s="15"/>
      <c r="H249" s="16"/>
      <c r="I249" s="17"/>
      <c r="J249" s="12" t="str">
        <f aca="false">IF(H249="","",H249+Summary!$B$4)</f>
        <v/>
      </c>
      <c r="K249" s="17"/>
      <c r="L249" s="16"/>
      <c r="M249" s="13" t="str">
        <f aca="false">IF(I249="","",I249-N(K249))</f>
        <v/>
      </c>
      <c r="N249" s="14" t="str">
        <f aca="true">IF(A249="","",IF(I249="",IF(E249&lt;&gt;"","To invoice","In progress"),IF(M249&lt;=0,"Paid",IF(TODAY()&gt;J249,"Overdue","Awaiting payment"))))</f>
        <v/>
      </c>
    </row>
    <row r="250" customFormat="false" ht="15" hidden="false" customHeight="false" outlineLevel="0" collapsed="false">
      <c r="A250" s="15"/>
      <c r="B250" s="15"/>
      <c r="C250" s="15"/>
      <c r="D250" s="16"/>
      <c r="E250" s="16"/>
      <c r="F250" s="17"/>
      <c r="G250" s="15"/>
      <c r="H250" s="16"/>
      <c r="I250" s="17"/>
      <c r="J250" s="12" t="str">
        <f aca="false">IF(H250="","",H250+Summary!$B$4)</f>
        <v/>
      </c>
      <c r="K250" s="17"/>
      <c r="L250" s="16"/>
      <c r="M250" s="13" t="str">
        <f aca="false">IF(I250="","",I250-N(K250))</f>
        <v/>
      </c>
      <c r="N250" s="14" t="str">
        <f aca="true">IF(A250="","",IF(I250="",IF(E250&lt;&gt;"","To invoice","In progress"),IF(M250&lt;=0,"Paid",IF(TODAY()&gt;J250,"Overdue","Awaiting payment"))))</f>
        <v/>
      </c>
    </row>
    <row r="251" customFormat="false" ht="15" hidden="false" customHeight="false" outlineLevel="0" collapsed="false">
      <c r="A251" s="15"/>
      <c r="B251" s="15"/>
      <c r="C251" s="15"/>
      <c r="D251" s="16"/>
      <c r="E251" s="16"/>
      <c r="F251" s="17"/>
      <c r="G251" s="15"/>
      <c r="H251" s="16"/>
      <c r="I251" s="17"/>
      <c r="J251" s="12" t="str">
        <f aca="false">IF(H251="","",H251+Summary!$B$4)</f>
        <v/>
      </c>
      <c r="K251" s="17"/>
      <c r="L251" s="16"/>
      <c r="M251" s="13" t="str">
        <f aca="false">IF(I251="","",I251-N(K251))</f>
        <v/>
      </c>
      <c r="N251" s="14" t="str">
        <f aca="true">IF(A251="","",IF(I251="",IF(E251&lt;&gt;"","To invoice","In progress"),IF(M251&lt;=0,"Paid",IF(TODAY()&gt;J251,"Overdue","Awaiting payment"))))</f>
        <v/>
      </c>
    </row>
    <row r="252" customFormat="false" ht="15" hidden="false" customHeight="false" outlineLevel="0" collapsed="false">
      <c r="A252" s="15"/>
      <c r="B252" s="15"/>
      <c r="C252" s="15"/>
      <c r="D252" s="16"/>
      <c r="E252" s="16"/>
      <c r="F252" s="17"/>
      <c r="G252" s="15"/>
      <c r="H252" s="16"/>
      <c r="I252" s="17"/>
      <c r="J252" s="12" t="str">
        <f aca="false">IF(H252="","",H252+Summary!$B$4)</f>
        <v/>
      </c>
      <c r="K252" s="17"/>
      <c r="L252" s="16"/>
      <c r="M252" s="13" t="str">
        <f aca="false">IF(I252="","",I252-N(K252))</f>
        <v/>
      </c>
      <c r="N252" s="14" t="str">
        <f aca="true">IF(A252="","",IF(I252="",IF(E252&lt;&gt;"","To invoice","In progress"),IF(M252&lt;=0,"Paid",IF(TODAY()&gt;J252,"Overdue","Awaiting payment"))))</f>
        <v/>
      </c>
    </row>
    <row r="253" customFormat="false" ht="15" hidden="false" customHeight="false" outlineLevel="0" collapsed="false">
      <c r="A253" s="15"/>
      <c r="B253" s="15"/>
      <c r="C253" s="15"/>
      <c r="D253" s="16"/>
      <c r="E253" s="16"/>
      <c r="F253" s="17"/>
      <c r="G253" s="15"/>
      <c r="H253" s="16"/>
      <c r="I253" s="17"/>
      <c r="J253" s="12" t="str">
        <f aca="false">IF(H253="","",H253+Summary!$B$4)</f>
        <v/>
      </c>
      <c r="K253" s="17"/>
      <c r="L253" s="16"/>
      <c r="M253" s="13" t="str">
        <f aca="false">IF(I253="","",I253-N(K253))</f>
        <v/>
      </c>
      <c r="N253" s="14" t="str">
        <f aca="true">IF(A253="","",IF(I253="",IF(E253&lt;&gt;"","To invoice","In progress"),IF(M253&lt;=0,"Paid",IF(TODAY()&gt;J253,"Overdue","Awaiting payment"))))</f>
        <v/>
      </c>
    </row>
    <row r="254" customFormat="false" ht="15" hidden="false" customHeight="false" outlineLevel="0" collapsed="false">
      <c r="A254" s="15"/>
      <c r="B254" s="15"/>
      <c r="C254" s="15"/>
      <c r="D254" s="16"/>
      <c r="E254" s="16"/>
      <c r="F254" s="17"/>
      <c r="G254" s="15"/>
      <c r="H254" s="16"/>
      <c r="I254" s="17"/>
      <c r="J254" s="12" t="str">
        <f aca="false">IF(H254="","",H254+Summary!$B$4)</f>
        <v/>
      </c>
      <c r="K254" s="17"/>
      <c r="L254" s="16"/>
      <c r="M254" s="13" t="str">
        <f aca="false">IF(I254="","",I254-N(K254))</f>
        <v/>
      </c>
      <c r="N254" s="14" t="str">
        <f aca="true">IF(A254="","",IF(I254="",IF(E254&lt;&gt;"","To invoice","In progress"),IF(M254&lt;=0,"Paid",IF(TODAY()&gt;J254,"Overdue","Awaiting payment"))))</f>
        <v/>
      </c>
    </row>
    <row r="255" customFormat="false" ht="15" hidden="false" customHeight="false" outlineLevel="0" collapsed="false">
      <c r="A255" s="15"/>
      <c r="B255" s="15"/>
      <c r="C255" s="15"/>
      <c r="D255" s="16"/>
      <c r="E255" s="16"/>
      <c r="F255" s="17"/>
      <c r="G255" s="15"/>
      <c r="H255" s="16"/>
      <c r="I255" s="17"/>
      <c r="J255" s="12" t="str">
        <f aca="false">IF(H255="","",H255+Summary!$B$4)</f>
        <v/>
      </c>
      <c r="K255" s="17"/>
      <c r="L255" s="16"/>
      <c r="M255" s="13" t="str">
        <f aca="false">IF(I255="","",I255-N(K255))</f>
        <v/>
      </c>
      <c r="N255" s="14" t="str">
        <f aca="true">IF(A255="","",IF(I255="",IF(E255&lt;&gt;"","To invoice","In progress"),IF(M255&lt;=0,"Paid",IF(TODAY()&gt;J255,"Overdue","Awaiting payment"))))</f>
        <v/>
      </c>
    </row>
    <row r="256" customFormat="false" ht="15" hidden="false" customHeight="false" outlineLevel="0" collapsed="false">
      <c r="A256" s="15"/>
      <c r="B256" s="15"/>
      <c r="C256" s="15"/>
      <c r="D256" s="16"/>
      <c r="E256" s="16"/>
      <c r="F256" s="17"/>
      <c r="G256" s="15"/>
      <c r="H256" s="16"/>
      <c r="I256" s="17"/>
      <c r="J256" s="12" t="str">
        <f aca="false">IF(H256="","",H256+Summary!$B$4)</f>
        <v/>
      </c>
      <c r="K256" s="17"/>
      <c r="L256" s="16"/>
      <c r="M256" s="13" t="str">
        <f aca="false">IF(I256="","",I256-N(K256))</f>
        <v/>
      </c>
      <c r="N256" s="14" t="str">
        <f aca="true">IF(A256="","",IF(I256="",IF(E256&lt;&gt;"","To invoice","In progress"),IF(M256&lt;=0,"Paid",IF(TODAY()&gt;J256,"Overdue","Awaiting payment"))))</f>
        <v/>
      </c>
    </row>
    <row r="257" customFormat="false" ht="15" hidden="false" customHeight="false" outlineLevel="0" collapsed="false">
      <c r="A257" s="15"/>
      <c r="B257" s="15"/>
      <c r="C257" s="15"/>
      <c r="D257" s="16"/>
      <c r="E257" s="16"/>
      <c r="F257" s="17"/>
      <c r="G257" s="15"/>
      <c r="H257" s="16"/>
      <c r="I257" s="17"/>
      <c r="J257" s="12" t="str">
        <f aca="false">IF(H257="","",H257+Summary!$B$4)</f>
        <v/>
      </c>
      <c r="K257" s="17"/>
      <c r="L257" s="16"/>
      <c r="M257" s="13" t="str">
        <f aca="false">IF(I257="","",I257-N(K257))</f>
        <v/>
      </c>
      <c r="N257" s="14" t="str">
        <f aca="true">IF(A257="","",IF(I257="",IF(E257&lt;&gt;"","To invoice","In progress"),IF(M257&lt;=0,"Paid",IF(TODAY()&gt;J257,"Overdue","Awaiting payment"))))</f>
        <v/>
      </c>
    </row>
    <row r="258" customFormat="false" ht="15" hidden="false" customHeight="false" outlineLevel="0" collapsed="false">
      <c r="A258" s="15"/>
      <c r="B258" s="15"/>
      <c r="C258" s="15"/>
      <c r="D258" s="16"/>
      <c r="E258" s="16"/>
      <c r="F258" s="17"/>
      <c r="G258" s="15"/>
      <c r="H258" s="16"/>
      <c r="I258" s="17"/>
      <c r="J258" s="12" t="str">
        <f aca="false">IF(H258="","",H258+Summary!$B$4)</f>
        <v/>
      </c>
      <c r="K258" s="17"/>
      <c r="L258" s="16"/>
      <c r="M258" s="13" t="str">
        <f aca="false">IF(I258="","",I258-N(K258))</f>
        <v/>
      </c>
      <c r="N258" s="14" t="str">
        <f aca="true">IF(A258="","",IF(I258="",IF(E258&lt;&gt;"","To invoice","In progress"),IF(M258&lt;=0,"Paid",IF(TODAY()&gt;J258,"Overdue","Awaiting payment"))))</f>
        <v/>
      </c>
    </row>
    <row r="259" customFormat="false" ht="15" hidden="false" customHeight="false" outlineLevel="0" collapsed="false">
      <c r="A259" s="15"/>
      <c r="B259" s="15"/>
      <c r="C259" s="15"/>
      <c r="D259" s="16"/>
      <c r="E259" s="16"/>
      <c r="F259" s="17"/>
      <c r="G259" s="15"/>
      <c r="H259" s="16"/>
      <c r="I259" s="17"/>
      <c r="J259" s="12" t="str">
        <f aca="false">IF(H259="","",H259+Summary!$B$4)</f>
        <v/>
      </c>
      <c r="K259" s="17"/>
      <c r="L259" s="16"/>
      <c r="M259" s="13" t="str">
        <f aca="false">IF(I259="","",I259-N(K259))</f>
        <v/>
      </c>
      <c r="N259" s="14" t="str">
        <f aca="true">IF(A259="","",IF(I259="",IF(E259&lt;&gt;"","To invoice","In progress"),IF(M259&lt;=0,"Paid",IF(TODAY()&gt;J259,"Overdue","Awaiting payment"))))</f>
        <v/>
      </c>
    </row>
    <row r="260" customFormat="false" ht="15" hidden="false" customHeight="false" outlineLevel="0" collapsed="false">
      <c r="A260" s="15"/>
      <c r="B260" s="15"/>
      <c r="C260" s="15"/>
      <c r="D260" s="16"/>
      <c r="E260" s="16"/>
      <c r="F260" s="17"/>
      <c r="G260" s="15"/>
      <c r="H260" s="16"/>
      <c r="I260" s="17"/>
      <c r="J260" s="12" t="str">
        <f aca="false">IF(H260="","",H260+Summary!$B$4)</f>
        <v/>
      </c>
      <c r="K260" s="17"/>
      <c r="L260" s="16"/>
      <c r="M260" s="13" t="str">
        <f aca="false">IF(I260="","",I260-N(K260))</f>
        <v/>
      </c>
      <c r="N260" s="14" t="str">
        <f aca="true">IF(A260="","",IF(I260="",IF(E260&lt;&gt;"","To invoice","In progress"),IF(M260&lt;=0,"Paid",IF(TODAY()&gt;J260,"Overdue","Awaiting payment"))))</f>
        <v/>
      </c>
    </row>
    <row r="261" customFormat="false" ht="15" hidden="false" customHeight="false" outlineLevel="0" collapsed="false">
      <c r="A261" s="15"/>
      <c r="B261" s="15"/>
      <c r="C261" s="15"/>
      <c r="D261" s="16"/>
      <c r="E261" s="16"/>
      <c r="F261" s="17"/>
      <c r="G261" s="15"/>
      <c r="H261" s="16"/>
      <c r="I261" s="17"/>
      <c r="J261" s="12" t="str">
        <f aca="false">IF(H261="","",H261+Summary!$B$4)</f>
        <v/>
      </c>
      <c r="K261" s="17"/>
      <c r="L261" s="16"/>
      <c r="M261" s="13" t="str">
        <f aca="false">IF(I261="","",I261-N(K261))</f>
        <v/>
      </c>
      <c r="N261" s="14" t="str">
        <f aca="true">IF(A261="","",IF(I261="",IF(E261&lt;&gt;"","To invoice","In progress"),IF(M261&lt;=0,"Paid",IF(TODAY()&gt;J261,"Overdue","Awaiting payment"))))</f>
        <v/>
      </c>
    </row>
    <row r="262" customFormat="false" ht="15" hidden="false" customHeight="false" outlineLevel="0" collapsed="false">
      <c r="A262" s="15"/>
      <c r="B262" s="15"/>
      <c r="C262" s="15"/>
      <c r="D262" s="16"/>
      <c r="E262" s="16"/>
      <c r="F262" s="17"/>
      <c r="G262" s="15"/>
      <c r="H262" s="16"/>
      <c r="I262" s="17"/>
      <c r="J262" s="12" t="str">
        <f aca="false">IF(H262="","",H262+Summary!$B$4)</f>
        <v/>
      </c>
      <c r="K262" s="17"/>
      <c r="L262" s="16"/>
      <c r="M262" s="13" t="str">
        <f aca="false">IF(I262="","",I262-N(K262))</f>
        <v/>
      </c>
      <c r="N262" s="14" t="str">
        <f aca="true">IF(A262="","",IF(I262="",IF(E262&lt;&gt;"","To invoice","In progress"),IF(M262&lt;=0,"Paid",IF(TODAY()&gt;J262,"Overdue","Awaiting payment"))))</f>
        <v/>
      </c>
    </row>
    <row r="263" customFormat="false" ht="15" hidden="false" customHeight="false" outlineLevel="0" collapsed="false">
      <c r="A263" s="15"/>
      <c r="B263" s="15"/>
      <c r="C263" s="15"/>
      <c r="D263" s="16"/>
      <c r="E263" s="16"/>
      <c r="F263" s="17"/>
      <c r="G263" s="15"/>
      <c r="H263" s="16"/>
      <c r="I263" s="17"/>
      <c r="J263" s="12" t="str">
        <f aca="false">IF(H263="","",H263+Summary!$B$4)</f>
        <v/>
      </c>
      <c r="K263" s="17"/>
      <c r="L263" s="16"/>
      <c r="M263" s="13" t="str">
        <f aca="false">IF(I263="","",I263-N(K263))</f>
        <v/>
      </c>
      <c r="N263" s="14" t="str">
        <f aca="true">IF(A263="","",IF(I263="",IF(E263&lt;&gt;"","To invoice","In progress"),IF(M263&lt;=0,"Paid",IF(TODAY()&gt;J263,"Overdue","Awaiting payment"))))</f>
        <v/>
      </c>
    </row>
    <row r="264" customFormat="false" ht="15" hidden="false" customHeight="false" outlineLevel="0" collapsed="false">
      <c r="A264" s="15"/>
      <c r="B264" s="15"/>
      <c r="C264" s="15"/>
      <c r="D264" s="16"/>
      <c r="E264" s="16"/>
      <c r="F264" s="17"/>
      <c r="G264" s="15"/>
      <c r="H264" s="16"/>
      <c r="I264" s="17"/>
      <c r="J264" s="12" t="str">
        <f aca="false">IF(H264="","",H264+Summary!$B$4)</f>
        <v/>
      </c>
      <c r="K264" s="17"/>
      <c r="L264" s="16"/>
      <c r="M264" s="13" t="str">
        <f aca="false">IF(I264="","",I264-N(K264))</f>
        <v/>
      </c>
      <c r="N264" s="14" t="str">
        <f aca="true">IF(A264="","",IF(I264="",IF(E264&lt;&gt;"","To invoice","In progress"),IF(M264&lt;=0,"Paid",IF(TODAY()&gt;J264,"Overdue","Awaiting payment"))))</f>
        <v/>
      </c>
    </row>
    <row r="265" customFormat="false" ht="15" hidden="false" customHeight="false" outlineLevel="0" collapsed="false">
      <c r="A265" s="15"/>
      <c r="B265" s="15"/>
      <c r="C265" s="15"/>
      <c r="D265" s="16"/>
      <c r="E265" s="16"/>
      <c r="F265" s="17"/>
      <c r="G265" s="15"/>
      <c r="H265" s="16"/>
      <c r="I265" s="17"/>
      <c r="J265" s="12" t="str">
        <f aca="false">IF(H265="","",H265+Summary!$B$4)</f>
        <v/>
      </c>
      <c r="K265" s="17"/>
      <c r="L265" s="16"/>
      <c r="M265" s="13" t="str">
        <f aca="false">IF(I265="","",I265-N(K265))</f>
        <v/>
      </c>
      <c r="N265" s="14" t="str">
        <f aca="true">IF(A265="","",IF(I265="",IF(E265&lt;&gt;"","To invoice","In progress"),IF(M265&lt;=0,"Paid",IF(TODAY()&gt;J265,"Overdue","Awaiting payment"))))</f>
        <v/>
      </c>
    </row>
    <row r="266" customFormat="false" ht="15" hidden="false" customHeight="false" outlineLevel="0" collapsed="false">
      <c r="A266" s="15"/>
      <c r="B266" s="15"/>
      <c r="C266" s="15"/>
      <c r="D266" s="16"/>
      <c r="E266" s="16"/>
      <c r="F266" s="17"/>
      <c r="G266" s="15"/>
      <c r="H266" s="16"/>
      <c r="I266" s="17"/>
      <c r="J266" s="12" t="str">
        <f aca="false">IF(H266="","",H266+Summary!$B$4)</f>
        <v/>
      </c>
      <c r="K266" s="17"/>
      <c r="L266" s="16"/>
      <c r="M266" s="13" t="str">
        <f aca="false">IF(I266="","",I266-N(K266))</f>
        <v/>
      </c>
      <c r="N266" s="14" t="str">
        <f aca="true">IF(A266="","",IF(I266="",IF(E266&lt;&gt;"","To invoice","In progress"),IF(M266&lt;=0,"Paid",IF(TODAY()&gt;J266,"Overdue","Awaiting payment"))))</f>
        <v/>
      </c>
    </row>
    <row r="267" customFormat="false" ht="15" hidden="false" customHeight="false" outlineLevel="0" collapsed="false">
      <c r="A267" s="15"/>
      <c r="B267" s="15"/>
      <c r="C267" s="15"/>
      <c r="D267" s="16"/>
      <c r="E267" s="16"/>
      <c r="F267" s="17"/>
      <c r="G267" s="15"/>
      <c r="H267" s="16"/>
      <c r="I267" s="17"/>
      <c r="J267" s="12" t="str">
        <f aca="false">IF(H267="","",H267+Summary!$B$4)</f>
        <v/>
      </c>
      <c r="K267" s="17"/>
      <c r="L267" s="16"/>
      <c r="M267" s="13" t="str">
        <f aca="false">IF(I267="","",I267-N(K267))</f>
        <v/>
      </c>
      <c r="N267" s="14" t="str">
        <f aca="true">IF(A267="","",IF(I267="",IF(E267&lt;&gt;"","To invoice","In progress"),IF(M267&lt;=0,"Paid",IF(TODAY()&gt;J267,"Overdue","Awaiting payment"))))</f>
        <v/>
      </c>
    </row>
    <row r="268" customFormat="false" ht="15" hidden="false" customHeight="false" outlineLevel="0" collapsed="false">
      <c r="A268" s="15"/>
      <c r="B268" s="15"/>
      <c r="C268" s="15"/>
      <c r="D268" s="16"/>
      <c r="E268" s="16"/>
      <c r="F268" s="17"/>
      <c r="G268" s="15"/>
      <c r="H268" s="16"/>
      <c r="I268" s="17"/>
      <c r="J268" s="12" t="str">
        <f aca="false">IF(H268="","",H268+Summary!$B$4)</f>
        <v/>
      </c>
      <c r="K268" s="17"/>
      <c r="L268" s="16"/>
      <c r="M268" s="13" t="str">
        <f aca="false">IF(I268="","",I268-N(K268))</f>
        <v/>
      </c>
      <c r="N268" s="14" t="str">
        <f aca="true">IF(A268="","",IF(I268="",IF(E268&lt;&gt;"","To invoice","In progress"),IF(M268&lt;=0,"Paid",IF(TODAY()&gt;J268,"Overdue","Awaiting payment"))))</f>
        <v/>
      </c>
    </row>
    <row r="269" customFormat="false" ht="15" hidden="false" customHeight="false" outlineLevel="0" collapsed="false">
      <c r="A269" s="15"/>
      <c r="B269" s="15"/>
      <c r="C269" s="15"/>
      <c r="D269" s="16"/>
      <c r="E269" s="16"/>
      <c r="F269" s="17"/>
      <c r="G269" s="15"/>
      <c r="H269" s="16"/>
      <c r="I269" s="17"/>
      <c r="J269" s="12" t="str">
        <f aca="false">IF(H269="","",H269+Summary!$B$4)</f>
        <v/>
      </c>
      <c r="K269" s="17"/>
      <c r="L269" s="16"/>
      <c r="M269" s="13" t="str">
        <f aca="false">IF(I269="","",I269-N(K269))</f>
        <v/>
      </c>
      <c r="N269" s="14" t="str">
        <f aca="true">IF(A269="","",IF(I269="",IF(E269&lt;&gt;"","To invoice","In progress"),IF(M269&lt;=0,"Paid",IF(TODAY()&gt;J269,"Overdue","Awaiting payment"))))</f>
        <v/>
      </c>
    </row>
    <row r="270" customFormat="false" ht="15" hidden="false" customHeight="false" outlineLevel="0" collapsed="false">
      <c r="A270" s="15"/>
      <c r="B270" s="15"/>
      <c r="C270" s="15"/>
      <c r="D270" s="16"/>
      <c r="E270" s="16"/>
      <c r="F270" s="17"/>
      <c r="G270" s="15"/>
      <c r="H270" s="16"/>
      <c r="I270" s="17"/>
      <c r="J270" s="12" t="str">
        <f aca="false">IF(H270="","",H270+Summary!$B$4)</f>
        <v/>
      </c>
      <c r="K270" s="17"/>
      <c r="L270" s="16"/>
      <c r="M270" s="13" t="str">
        <f aca="false">IF(I270="","",I270-N(K270))</f>
        <v/>
      </c>
      <c r="N270" s="14" t="str">
        <f aca="true">IF(A270="","",IF(I270="",IF(E270&lt;&gt;"","To invoice","In progress"),IF(M270&lt;=0,"Paid",IF(TODAY()&gt;J270,"Overdue","Awaiting payment"))))</f>
        <v/>
      </c>
    </row>
    <row r="271" customFormat="false" ht="15" hidden="false" customHeight="false" outlineLevel="0" collapsed="false">
      <c r="A271" s="15"/>
      <c r="B271" s="15"/>
      <c r="C271" s="15"/>
      <c r="D271" s="16"/>
      <c r="E271" s="16"/>
      <c r="F271" s="17"/>
      <c r="G271" s="15"/>
      <c r="H271" s="16"/>
      <c r="I271" s="17"/>
      <c r="J271" s="12" t="str">
        <f aca="false">IF(H271="","",H271+Summary!$B$4)</f>
        <v/>
      </c>
      <c r="K271" s="17"/>
      <c r="L271" s="16"/>
      <c r="M271" s="13" t="str">
        <f aca="false">IF(I271="","",I271-N(K271))</f>
        <v/>
      </c>
      <c r="N271" s="14" t="str">
        <f aca="true">IF(A271="","",IF(I271="",IF(E271&lt;&gt;"","To invoice","In progress"),IF(M271&lt;=0,"Paid",IF(TODAY()&gt;J271,"Overdue","Awaiting payment"))))</f>
        <v/>
      </c>
    </row>
    <row r="272" customFormat="false" ht="15" hidden="false" customHeight="false" outlineLevel="0" collapsed="false">
      <c r="A272" s="15"/>
      <c r="B272" s="15"/>
      <c r="C272" s="15"/>
      <c r="D272" s="16"/>
      <c r="E272" s="16"/>
      <c r="F272" s="17"/>
      <c r="G272" s="15"/>
      <c r="H272" s="16"/>
      <c r="I272" s="17"/>
      <c r="J272" s="12" t="str">
        <f aca="false">IF(H272="","",H272+Summary!$B$4)</f>
        <v/>
      </c>
      <c r="K272" s="17"/>
      <c r="L272" s="16"/>
      <c r="M272" s="13" t="str">
        <f aca="false">IF(I272="","",I272-N(K272))</f>
        <v/>
      </c>
      <c r="N272" s="14" t="str">
        <f aca="true">IF(A272="","",IF(I272="",IF(E272&lt;&gt;"","To invoice","In progress"),IF(M272&lt;=0,"Paid",IF(TODAY()&gt;J272,"Overdue","Awaiting payment"))))</f>
        <v/>
      </c>
    </row>
    <row r="273" customFormat="false" ht="15" hidden="false" customHeight="false" outlineLevel="0" collapsed="false">
      <c r="A273" s="15"/>
      <c r="B273" s="15"/>
      <c r="C273" s="15"/>
      <c r="D273" s="16"/>
      <c r="E273" s="16"/>
      <c r="F273" s="17"/>
      <c r="G273" s="15"/>
      <c r="H273" s="16"/>
      <c r="I273" s="17"/>
      <c r="J273" s="12" t="str">
        <f aca="false">IF(H273="","",H273+Summary!$B$4)</f>
        <v/>
      </c>
      <c r="K273" s="17"/>
      <c r="L273" s="16"/>
      <c r="M273" s="13" t="str">
        <f aca="false">IF(I273="","",I273-N(K273))</f>
        <v/>
      </c>
      <c r="N273" s="14" t="str">
        <f aca="true">IF(A273="","",IF(I273="",IF(E273&lt;&gt;"","To invoice","In progress"),IF(M273&lt;=0,"Paid",IF(TODAY()&gt;J273,"Overdue","Awaiting payment"))))</f>
        <v/>
      </c>
    </row>
    <row r="274" customFormat="false" ht="15" hidden="false" customHeight="false" outlineLevel="0" collapsed="false">
      <c r="A274" s="15"/>
      <c r="B274" s="15"/>
      <c r="C274" s="15"/>
      <c r="D274" s="16"/>
      <c r="E274" s="16"/>
      <c r="F274" s="17"/>
      <c r="G274" s="15"/>
      <c r="H274" s="16"/>
      <c r="I274" s="17"/>
      <c r="J274" s="12" t="str">
        <f aca="false">IF(H274="","",H274+Summary!$B$4)</f>
        <v/>
      </c>
      <c r="K274" s="17"/>
      <c r="L274" s="16"/>
      <c r="M274" s="13" t="str">
        <f aca="false">IF(I274="","",I274-N(K274))</f>
        <v/>
      </c>
      <c r="N274" s="14" t="str">
        <f aca="true">IF(A274="","",IF(I274="",IF(E274&lt;&gt;"","To invoice","In progress"),IF(M274&lt;=0,"Paid",IF(TODAY()&gt;J274,"Overdue","Awaiting payment"))))</f>
        <v/>
      </c>
    </row>
    <row r="275" customFormat="false" ht="15" hidden="false" customHeight="false" outlineLevel="0" collapsed="false">
      <c r="A275" s="15"/>
      <c r="B275" s="15"/>
      <c r="C275" s="15"/>
      <c r="D275" s="16"/>
      <c r="E275" s="16"/>
      <c r="F275" s="17"/>
      <c r="G275" s="15"/>
      <c r="H275" s="16"/>
      <c r="I275" s="17"/>
      <c r="J275" s="12" t="str">
        <f aca="false">IF(H275="","",H275+Summary!$B$4)</f>
        <v/>
      </c>
      <c r="K275" s="17"/>
      <c r="L275" s="16"/>
      <c r="M275" s="13" t="str">
        <f aca="false">IF(I275="","",I275-N(K275))</f>
        <v/>
      </c>
      <c r="N275" s="14" t="str">
        <f aca="true">IF(A275="","",IF(I275="",IF(E275&lt;&gt;"","To invoice","In progress"),IF(M275&lt;=0,"Paid",IF(TODAY()&gt;J275,"Overdue","Awaiting payment"))))</f>
        <v/>
      </c>
    </row>
    <row r="276" customFormat="false" ht="15" hidden="false" customHeight="false" outlineLevel="0" collapsed="false">
      <c r="A276" s="15"/>
      <c r="B276" s="15"/>
      <c r="C276" s="15"/>
      <c r="D276" s="16"/>
      <c r="E276" s="16"/>
      <c r="F276" s="17"/>
      <c r="G276" s="15"/>
      <c r="H276" s="16"/>
      <c r="I276" s="17"/>
      <c r="J276" s="12" t="str">
        <f aca="false">IF(H276="","",H276+Summary!$B$4)</f>
        <v/>
      </c>
      <c r="K276" s="17"/>
      <c r="L276" s="16"/>
      <c r="M276" s="13" t="str">
        <f aca="false">IF(I276="","",I276-N(K276))</f>
        <v/>
      </c>
      <c r="N276" s="14" t="str">
        <f aca="true">IF(A276="","",IF(I276="",IF(E276&lt;&gt;"","To invoice","In progress"),IF(M276&lt;=0,"Paid",IF(TODAY()&gt;J276,"Overdue","Awaiting payment"))))</f>
        <v/>
      </c>
    </row>
    <row r="277" customFormat="false" ht="15" hidden="false" customHeight="false" outlineLevel="0" collapsed="false">
      <c r="A277" s="15"/>
      <c r="B277" s="15"/>
      <c r="C277" s="15"/>
      <c r="D277" s="16"/>
      <c r="E277" s="16"/>
      <c r="F277" s="17"/>
      <c r="G277" s="15"/>
      <c r="H277" s="16"/>
      <c r="I277" s="17"/>
      <c r="J277" s="12" t="str">
        <f aca="false">IF(H277="","",H277+Summary!$B$4)</f>
        <v/>
      </c>
      <c r="K277" s="17"/>
      <c r="L277" s="16"/>
      <c r="M277" s="13" t="str">
        <f aca="false">IF(I277="","",I277-N(K277))</f>
        <v/>
      </c>
      <c r="N277" s="14" t="str">
        <f aca="true">IF(A277="","",IF(I277="",IF(E277&lt;&gt;"","To invoice","In progress"),IF(M277&lt;=0,"Paid",IF(TODAY()&gt;J277,"Overdue","Awaiting payment"))))</f>
        <v/>
      </c>
    </row>
    <row r="278" customFormat="false" ht="15" hidden="false" customHeight="false" outlineLevel="0" collapsed="false">
      <c r="A278" s="15"/>
      <c r="B278" s="15"/>
      <c r="C278" s="15"/>
      <c r="D278" s="16"/>
      <c r="E278" s="16"/>
      <c r="F278" s="17"/>
      <c r="G278" s="15"/>
      <c r="H278" s="16"/>
      <c r="I278" s="17"/>
      <c r="J278" s="12" t="str">
        <f aca="false">IF(H278="","",H278+Summary!$B$4)</f>
        <v/>
      </c>
      <c r="K278" s="17"/>
      <c r="L278" s="16"/>
      <c r="M278" s="13" t="str">
        <f aca="false">IF(I278="","",I278-N(K278))</f>
        <v/>
      </c>
      <c r="N278" s="14" t="str">
        <f aca="true">IF(A278="","",IF(I278="",IF(E278&lt;&gt;"","To invoice","In progress"),IF(M278&lt;=0,"Paid",IF(TODAY()&gt;J278,"Overdue","Awaiting payment"))))</f>
        <v/>
      </c>
    </row>
    <row r="279" customFormat="false" ht="15" hidden="false" customHeight="false" outlineLevel="0" collapsed="false">
      <c r="A279" s="15"/>
      <c r="B279" s="15"/>
      <c r="C279" s="15"/>
      <c r="D279" s="16"/>
      <c r="E279" s="16"/>
      <c r="F279" s="17"/>
      <c r="G279" s="15"/>
      <c r="H279" s="16"/>
      <c r="I279" s="17"/>
      <c r="J279" s="12" t="str">
        <f aca="false">IF(H279="","",H279+Summary!$B$4)</f>
        <v/>
      </c>
      <c r="K279" s="17"/>
      <c r="L279" s="16"/>
      <c r="M279" s="13" t="str">
        <f aca="false">IF(I279="","",I279-N(K279))</f>
        <v/>
      </c>
      <c r="N279" s="14" t="str">
        <f aca="true">IF(A279="","",IF(I279="",IF(E279&lt;&gt;"","To invoice","In progress"),IF(M279&lt;=0,"Paid",IF(TODAY()&gt;J279,"Overdue","Awaiting payment"))))</f>
        <v/>
      </c>
    </row>
    <row r="280" customFormat="false" ht="15" hidden="false" customHeight="false" outlineLevel="0" collapsed="false">
      <c r="A280" s="15"/>
      <c r="B280" s="15"/>
      <c r="C280" s="15"/>
      <c r="D280" s="16"/>
      <c r="E280" s="16"/>
      <c r="F280" s="17"/>
      <c r="G280" s="15"/>
      <c r="H280" s="16"/>
      <c r="I280" s="17"/>
      <c r="J280" s="12" t="str">
        <f aca="false">IF(H280="","",H280+Summary!$B$4)</f>
        <v/>
      </c>
      <c r="K280" s="17"/>
      <c r="L280" s="16"/>
      <c r="M280" s="13" t="str">
        <f aca="false">IF(I280="","",I280-N(K280))</f>
        <v/>
      </c>
      <c r="N280" s="14" t="str">
        <f aca="true">IF(A280="","",IF(I280="",IF(E280&lt;&gt;"","To invoice","In progress"),IF(M280&lt;=0,"Paid",IF(TODAY()&gt;J280,"Overdue","Awaiting payment"))))</f>
        <v/>
      </c>
    </row>
    <row r="281" customFormat="false" ht="15" hidden="false" customHeight="false" outlineLevel="0" collapsed="false">
      <c r="A281" s="15"/>
      <c r="B281" s="15"/>
      <c r="C281" s="15"/>
      <c r="D281" s="16"/>
      <c r="E281" s="16"/>
      <c r="F281" s="17"/>
      <c r="G281" s="15"/>
      <c r="H281" s="16"/>
      <c r="I281" s="17"/>
      <c r="J281" s="12" t="str">
        <f aca="false">IF(H281="","",H281+Summary!$B$4)</f>
        <v/>
      </c>
      <c r="K281" s="17"/>
      <c r="L281" s="16"/>
      <c r="M281" s="13" t="str">
        <f aca="false">IF(I281="","",I281-N(K281))</f>
        <v/>
      </c>
      <c r="N281" s="14" t="str">
        <f aca="true">IF(A281="","",IF(I281="",IF(E281&lt;&gt;"","To invoice","In progress"),IF(M281&lt;=0,"Paid",IF(TODAY()&gt;J281,"Overdue","Awaiting payment"))))</f>
        <v/>
      </c>
    </row>
    <row r="282" customFormat="false" ht="15" hidden="false" customHeight="false" outlineLevel="0" collapsed="false">
      <c r="A282" s="15"/>
      <c r="B282" s="15"/>
      <c r="C282" s="15"/>
      <c r="D282" s="16"/>
      <c r="E282" s="16"/>
      <c r="F282" s="17"/>
      <c r="G282" s="15"/>
      <c r="H282" s="16"/>
      <c r="I282" s="17"/>
      <c r="J282" s="12" t="str">
        <f aca="false">IF(H282="","",H282+Summary!$B$4)</f>
        <v/>
      </c>
      <c r="K282" s="17"/>
      <c r="L282" s="16"/>
      <c r="M282" s="13" t="str">
        <f aca="false">IF(I282="","",I282-N(K282))</f>
        <v/>
      </c>
      <c r="N282" s="14" t="str">
        <f aca="true">IF(A282="","",IF(I282="",IF(E282&lt;&gt;"","To invoice","In progress"),IF(M282&lt;=0,"Paid",IF(TODAY()&gt;J282,"Overdue","Awaiting payment"))))</f>
        <v/>
      </c>
    </row>
    <row r="283" customFormat="false" ht="15" hidden="false" customHeight="false" outlineLevel="0" collapsed="false">
      <c r="A283" s="15"/>
      <c r="B283" s="15"/>
      <c r="C283" s="15"/>
      <c r="D283" s="16"/>
      <c r="E283" s="16"/>
      <c r="F283" s="17"/>
      <c r="G283" s="15"/>
      <c r="H283" s="16"/>
      <c r="I283" s="17"/>
      <c r="J283" s="12" t="str">
        <f aca="false">IF(H283="","",H283+Summary!$B$4)</f>
        <v/>
      </c>
      <c r="K283" s="17"/>
      <c r="L283" s="16"/>
      <c r="M283" s="13" t="str">
        <f aca="false">IF(I283="","",I283-N(K283))</f>
        <v/>
      </c>
      <c r="N283" s="14" t="str">
        <f aca="true">IF(A283="","",IF(I283="",IF(E283&lt;&gt;"","To invoice","In progress"),IF(M283&lt;=0,"Paid",IF(TODAY()&gt;J283,"Overdue","Awaiting payment"))))</f>
        <v/>
      </c>
    </row>
    <row r="284" customFormat="false" ht="15" hidden="false" customHeight="false" outlineLevel="0" collapsed="false">
      <c r="A284" s="15"/>
      <c r="B284" s="15"/>
      <c r="C284" s="15"/>
      <c r="D284" s="16"/>
      <c r="E284" s="16"/>
      <c r="F284" s="17"/>
      <c r="G284" s="15"/>
      <c r="H284" s="16"/>
      <c r="I284" s="17"/>
      <c r="J284" s="12" t="str">
        <f aca="false">IF(H284="","",H284+Summary!$B$4)</f>
        <v/>
      </c>
      <c r="K284" s="17"/>
      <c r="L284" s="16"/>
      <c r="M284" s="13" t="str">
        <f aca="false">IF(I284="","",I284-N(K284))</f>
        <v/>
      </c>
      <c r="N284" s="14" t="str">
        <f aca="true">IF(A284="","",IF(I284="",IF(E284&lt;&gt;"","To invoice","In progress"),IF(M284&lt;=0,"Paid",IF(TODAY()&gt;J284,"Overdue","Awaiting payment"))))</f>
        <v/>
      </c>
    </row>
    <row r="285" customFormat="false" ht="15" hidden="false" customHeight="false" outlineLevel="0" collapsed="false">
      <c r="A285" s="15"/>
      <c r="B285" s="15"/>
      <c r="C285" s="15"/>
      <c r="D285" s="16"/>
      <c r="E285" s="16"/>
      <c r="F285" s="17"/>
      <c r="G285" s="15"/>
      <c r="H285" s="16"/>
      <c r="I285" s="17"/>
      <c r="J285" s="12" t="str">
        <f aca="false">IF(H285="","",H285+Summary!$B$4)</f>
        <v/>
      </c>
      <c r="K285" s="17"/>
      <c r="L285" s="16"/>
      <c r="M285" s="13" t="str">
        <f aca="false">IF(I285="","",I285-N(K285))</f>
        <v/>
      </c>
      <c r="N285" s="14" t="str">
        <f aca="true">IF(A285="","",IF(I285="",IF(E285&lt;&gt;"","To invoice","In progress"),IF(M285&lt;=0,"Paid",IF(TODAY()&gt;J285,"Overdue","Awaiting payment"))))</f>
        <v/>
      </c>
    </row>
    <row r="286" customFormat="false" ht="15" hidden="false" customHeight="false" outlineLevel="0" collapsed="false">
      <c r="A286" s="15"/>
      <c r="B286" s="15"/>
      <c r="C286" s="15"/>
      <c r="D286" s="16"/>
      <c r="E286" s="16"/>
      <c r="F286" s="17"/>
      <c r="G286" s="15"/>
      <c r="H286" s="16"/>
      <c r="I286" s="17"/>
      <c r="J286" s="12" t="str">
        <f aca="false">IF(H286="","",H286+Summary!$B$4)</f>
        <v/>
      </c>
      <c r="K286" s="17"/>
      <c r="L286" s="16"/>
      <c r="M286" s="13" t="str">
        <f aca="false">IF(I286="","",I286-N(K286))</f>
        <v/>
      </c>
      <c r="N286" s="14" t="str">
        <f aca="true">IF(A286="","",IF(I286="",IF(E286&lt;&gt;"","To invoice","In progress"),IF(M286&lt;=0,"Paid",IF(TODAY()&gt;J286,"Overdue","Awaiting payment"))))</f>
        <v/>
      </c>
    </row>
    <row r="287" customFormat="false" ht="15" hidden="false" customHeight="false" outlineLevel="0" collapsed="false">
      <c r="A287" s="15"/>
      <c r="B287" s="15"/>
      <c r="C287" s="15"/>
      <c r="D287" s="16"/>
      <c r="E287" s="16"/>
      <c r="F287" s="17"/>
      <c r="G287" s="15"/>
      <c r="H287" s="16"/>
      <c r="I287" s="17"/>
      <c r="J287" s="12" t="str">
        <f aca="false">IF(H287="","",H287+Summary!$B$4)</f>
        <v/>
      </c>
      <c r="K287" s="17"/>
      <c r="L287" s="16"/>
      <c r="M287" s="13" t="str">
        <f aca="false">IF(I287="","",I287-N(K287))</f>
        <v/>
      </c>
      <c r="N287" s="14" t="str">
        <f aca="true">IF(A287="","",IF(I287="",IF(E287&lt;&gt;"","To invoice","In progress"),IF(M287&lt;=0,"Paid",IF(TODAY()&gt;J287,"Overdue","Awaiting payment"))))</f>
        <v/>
      </c>
    </row>
    <row r="288" customFormat="false" ht="15" hidden="false" customHeight="false" outlineLevel="0" collapsed="false">
      <c r="A288" s="15"/>
      <c r="B288" s="15"/>
      <c r="C288" s="15"/>
      <c r="D288" s="16"/>
      <c r="E288" s="16"/>
      <c r="F288" s="17"/>
      <c r="G288" s="15"/>
      <c r="H288" s="16"/>
      <c r="I288" s="17"/>
      <c r="J288" s="12" t="str">
        <f aca="false">IF(H288="","",H288+Summary!$B$4)</f>
        <v/>
      </c>
      <c r="K288" s="17"/>
      <c r="L288" s="16"/>
      <c r="M288" s="13" t="str">
        <f aca="false">IF(I288="","",I288-N(K288))</f>
        <v/>
      </c>
      <c r="N288" s="14" t="str">
        <f aca="true">IF(A288="","",IF(I288="",IF(E288&lt;&gt;"","To invoice","In progress"),IF(M288&lt;=0,"Paid",IF(TODAY()&gt;J288,"Overdue","Awaiting payment"))))</f>
        <v/>
      </c>
    </row>
    <row r="289" customFormat="false" ht="15" hidden="false" customHeight="false" outlineLevel="0" collapsed="false">
      <c r="A289" s="15"/>
      <c r="B289" s="15"/>
      <c r="C289" s="15"/>
      <c r="D289" s="16"/>
      <c r="E289" s="16"/>
      <c r="F289" s="17"/>
      <c r="G289" s="15"/>
      <c r="H289" s="16"/>
      <c r="I289" s="17"/>
      <c r="J289" s="12" t="str">
        <f aca="false">IF(H289="","",H289+Summary!$B$4)</f>
        <v/>
      </c>
      <c r="K289" s="17"/>
      <c r="L289" s="16"/>
      <c r="M289" s="13" t="str">
        <f aca="false">IF(I289="","",I289-N(K289))</f>
        <v/>
      </c>
      <c r="N289" s="14" t="str">
        <f aca="true">IF(A289="","",IF(I289="",IF(E289&lt;&gt;"","To invoice","In progress"),IF(M289&lt;=0,"Paid",IF(TODAY()&gt;J289,"Overdue","Awaiting payment"))))</f>
        <v/>
      </c>
    </row>
    <row r="290" customFormat="false" ht="15" hidden="false" customHeight="false" outlineLevel="0" collapsed="false">
      <c r="A290" s="15"/>
      <c r="B290" s="15"/>
      <c r="C290" s="15"/>
      <c r="D290" s="16"/>
      <c r="E290" s="16"/>
      <c r="F290" s="17"/>
      <c r="G290" s="15"/>
      <c r="H290" s="16"/>
      <c r="I290" s="17"/>
      <c r="J290" s="12" t="str">
        <f aca="false">IF(H290="","",H290+Summary!$B$4)</f>
        <v/>
      </c>
      <c r="K290" s="17"/>
      <c r="L290" s="16"/>
      <c r="M290" s="13" t="str">
        <f aca="false">IF(I290="","",I290-N(K290))</f>
        <v/>
      </c>
      <c r="N290" s="14" t="str">
        <f aca="true">IF(A290="","",IF(I290="",IF(E290&lt;&gt;"","To invoice","In progress"),IF(M290&lt;=0,"Paid",IF(TODAY()&gt;J290,"Overdue","Awaiting payment"))))</f>
        <v/>
      </c>
    </row>
    <row r="291" customFormat="false" ht="15" hidden="false" customHeight="false" outlineLevel="0" collapsed="false">
      <c r="A291" s="15"/>
      <c r="B291" s="15"/>
      <c r="C291" s="15"/>
      <c r="D291" s="16"/>
      <c r="E291" s="16"/>
      <c r="F291" s="17"/>
      <c r="G291" s="15"/>
      <c r="H291" s="16"/>
      <c r="I291" s="17"/>
      <c r="J291" s="12" t="str">
        <f aca="false">IF(H291="","",H291+Summary!$B$4)</f>
        <v/>
      </c>
      <c r="K291" s="17"/>
      <c r="L291" s="16"/>
      <c r="M291" s="13" t="str">
        <f aca="false">IF(I291="","",I291-N(K291))</f>
        <v/>
      </c>
      <c r="N291" s="14" t="str">
        <f aca="true">IF(A291="","",IF(I291="",IF(E291&lt;&gt;"","To invoice","In progress"),IF(M291&lt;=0,"Paid",IF(TODAY()&gt;J291,"Overdue","Awaiting payment"))))</f>
        <v/>
      </c>
    </row>
    <row r="292" customFormat="false" ht="15" hidden="false" customHeight="false" outlineLevel="0" collapsed="false">
      <c r="A292" s="15"/>
      <c r="B292" s="15"/>
      <c r="C292" s="15"/>
      <c r="D292" s="16"/>
      <c r="E292" s="16"/>
      <c r="F292" s="17"/>
      <c r="G292" s="15"/>
      <c r="H292" s="16"/>
      <c r="I292" s="17"/>
      <c r="J292" s="12" t="str">
        <f aca="false">IF(H292="","",H292+Summary!$B$4)</f>
        <v/>
      </c>
      <c r="K292" s="17"/>
      <c r="L292" s="16"/>
      <c r="M292" s="13" t="str">
        <f aca="false">IF(I292="","",I292-N(K292))</f>
        <v/>
      </c>
      <c r="N292" s="14" t="str">
        <f aca="true">IF(A292="","",IF(I292="",IF(E292&lt;&gt;"","To invoice","In progress"),IF(M292&lt;=0,"Paid",IF(TODAY()&gt;J292,"Overdue","Awaiting payment"))))</f>
        <v/>
      </c>
    </row>
    <row r="293" customFormat="false" ht="15" hidden="false" customHeight="false" outlineLevel="0" collapsed="false">
      <c r="A293" s="15"/>
      <c r="B293" s="15"/>
      <c r="C293" s="15"/>
      <c r="D293" s="16"/>
      <c r="E293" s="16"/>
      <c r="F293" s="17"/>
      <c r="G293" s="15"/>
      <c r="H293" s="16"/>
      <c r="I293" s="17"/>
      <c r="J293" s="12" t="str">
        <f aca="false">IF(H293="","",H293+Summary!$B$4)</f>
        <v/>
      </c>
      <c r="K293" s="17"/>
      <c r="L293" s="16"/>
      <c r="M293" s="13" t="str">
        <f aca="false">IF(I293="","",I293-N(K293))</f>
        <v/>
      </c>
      <c r="N293" s="14" t="str">
        <f aca="true">IF(A293="","",IF(I293="",IF(E293&lt;&gt;"","To invoice","In progress"),IF(M293&lt;=0,"Paid",IF(TODAY()&gt;J293,"Overdue","Awaiting payment"))))</f>
        <v/>
      </c>
    </row>
    <row r="294" customFormat="false" ht="15" hidden="false" customHeight="false" outlineLevel="0" collapsed="false">
      <c r="A294" s="15"/>
      <c r="B294" s="15"/>
      <c r="C294" s="15"/>
      <c r="D294" s="16"/>
      <c r="E294" s="16"/>
      <c r="F294" s="17"/>
      <c r="G294" s="15"/>
      <c r="H294" s="16"/>
      <c r="I294" s="17"/>
      <c r="J294" s="12" t="str">
        <f aca="false">IF(H294="","",H294+Summary!$B$4)</f>
        <v/>
      </c>
      <c r="K294" s="17"/>
      <c r="L294" s="16"/>
      <c r="M294" s="13" t="str">
        <f aca="false">IF(I294="","",I294-N(K294))</f>
        <v/>
      </c>
      <c r="N294" s="14" t="str">
        <f aca="true">IF(A294="","",IF(I294="",IF(E294&lt;&gt;"","To invoice","In progress"),IF(M294&lt;=0,"Paid",IF(TODAY()&gt;J294,"Overdue","Awaiting payment"))))</f>
        <v/>
      </c>
    </row>
    <row r="295" customFormat="false" ht="15" hidden="false" customHeight="false" outlineLevel="0" collapsed="false">
      <c r="A295" s="15"/>
      <c r="B295" s="15"/>
      <c r="C295" s="15"/>
      <c r="D295" s="16"/>
      <c r="E295" s="16"/>
      <c r="F295" s="17"/>
      <c r="G295" s="15"/>
      <c r="H295" s="16"/>
      <c r="I295" s="17"/>
      <c r="J295" s="12" t="str">
        <f aca="false">IF(H295="","",H295+Summary!$B$4)</f>
        <v/>
      </c>
      <c r="K295" s="17"/>
      <c r="L295" s="16"/>
      <c r="M295" s="13" t="str">
        <f aca="false">IF(I295="","",I295-N(K295))</f>
        <v/>
      </c>
      <c r="N295" s="14" t="str">
        <f aca="true">IF(A295="","",IF(I295="",IF(E295&lt;&gt;"","To invoice","In progress"),IF(M295&lt;=0,"Paid",IF(TODAY()&gt;J295,"Overdue","Awaiting payment"))))</f>
        <v/>
      </c>
    </row>
    <row r="296" customFormat="false" ht="15" hidden="false" customHeight="false" outlineLevel="0" collapsed="false">
      <c r="A296" s="15"/>
      <c r="B296" s="15"/>
      <c r="C296" s="15"/>
      <c r="D296" s="16"/>
      <c r="E296" s="16"/>
      <c r="F296" s="17"/>
      <c r="G296" s="15"/>
      <c r="H296" s="16"/>
      <c r="I296" s="17"/>
      <c r="J296" s="12" t="str">
        <f aca="false">IF(H296="","",H296+Summary!$B$4)</f>
        <v/>
      </c>
      <c r="K296" s="17"/>
      <c r="L296" s="16"/>
      <c r="M296" s="13" t="str">
        <f aca="false">IF(I296="","",I296-N(K296))</f>
        <v/>
      </c>
      <c r="N296" s="14" t="str">
        <f aca="true">IF(A296="","",IF(I296="",IF(E296&lt;&gt;"","To invoice","In progress"),IF(M296&lt;=0,"Paid",IF(TODAY()&gt;J296,"Overdue","Awaiting payment"))))</f>
        <v/>
      </c>
    </row>
    <row r="297" customFormat="false" ht="15" hidden="false" customHeight="false" outlineLevel="0" collapsed="false">
      <c r="A297" s="15"/>
      <c r="B297" s="15"/>
      <c r="C297" s="15"/>
      <c r="D297" s="16"/>
      <c r="E297" s="16"/>
      <c r="F297" s="17"/>
      <c r="G297" s="15"/>
      <c r="H297" s="16"/>
      <c r="I297" s="17"/>
      <c r="J297" s="12" t="str">
        <f aca="false">IF(H297="","",H297+Summary!$B$4)</f>
        <v/>
      </c>
      <c r="K297" s="17"/>
      <c r="L297" s="16"/>
      <c r="M297" s="13" t="str">
        <f aca="false">IF(I297="","",I297-N(K297))</f>
        <v/>
      </c>
      <c r="N297" s="14" t="str">
        <f aca="true">IF(A297="","",IF(I297="",IF(E297&lt;&gt;"","To invoice","In progress"),IF(M297&lt;=0,"Paid",IF(TODAY()&gt;J297,"Overdue","Awaiting payment"))))</f>
        <v/>
      </c>
    </row>
    <row r="298" customFormat="false" ht="15" hidden="false" customHeight="false" outlineLevel="0" collapsed="false">
      <c r="A298" s="15"/>
      <c r="B298" s="15"/>
      <c r="C298" s="15"/>
      <c r="D298" s="16"/>
      <c r="E298" s="16"/>
      <c r="F298" s="17"/>
      <c r="G298" s="15"/>
      <c r="H298" s="16"/>
      <c r="I298" s="17"/>
      <c r="J298" s="12" t="str">
        <f aca="false">IF(H298="","",H298+Summary!$B$4)</f>
        <v/>
      </c>
      <c r="K298" s="17"/>
      <c r="L298" s="16"/>
      <c r="M298" s="13" t="str">
        <f aca="false">IF(I298="","",I298-N(K298))</f>
        <v/>
      </c>
      <c r="N298" s="14" t="str">
        <f aca="true">IF(A298="","",IF(I298="",IF(E298&lt;&gt;"","To invoice","In progress"),IF(M298&lt;=0,"Paid",IF(TODAY()&gt;J298,"Overdue","Awaiting payment"))))</f>
        <v/>
      </c>
    </row>
    <row r="299" customFormat="false" ht="15" hidden="false" customHeight="false" outlineLevel="0" collapsed="false">
      <c r="A299" s="15"/>
      <c r="B299" s="15"/>
      <c r="C299" s="15"/>
      <c r="D299" s="16"/>
      <c r="E299" s="16"/>
      <c r="F299" s="17"/>
      <c r="G299" s="15"/>
      <c r="H299" s="16"/>
      <c r="I299" s="17"/>
      <c r="J299" s="12" t="str">
        <f aca="false">IF(H299="","",H299+Summary!$B$4)</f>
        <v/>
      </c>
      <c r="K299" s="17"/>
      <c r="L299" s="16"/>
      <c r="M299" s="13" t="str">
        <f aca="false">IF(I299="","",I299-N(K299))</f>
        <v/>
      </c>
      <c r="N299" s="14" t="str">
        <f aca="true">IF(A299="","",IF(I299="",IF(E299&lt;&gt;"","To invoice","In progress"),IF(M299&lt;=0,"Paid",IF(TODAY()&gt;J299,"Overdue","Awaiting payment"))))</f>
        <v/>
      </c>
    </row>
    <row r="300" customFormat="false" ht="15" hidden="false" customHeight="false" outlineLevel="0" collapsed="false">
      <c r="A300" s="15"/>
      <c r="B300" s="15"/>
      <c r="C300" s="15"/>
      <c r="D300" s="16"/>
      <c r="E300" s="16"/>
      <c r="F300" s="17"/>
      <c r="G300" s="15"/>
      <c r="H300" s="16"/>
      <c r="I300" s="17"/>
      <c r="J300" s="12" t="str">
        <f aca="false">IF(H300="","",H300+Summary!$B$4)</f>
        <v/>
      </c>
      <c r="K300" s="17"/>
      <c r="L300" s="16"/>
      <c r="M300" s="13" t="str">
        <f aca="false">IF(I300="","",I300-N(K300))</f>
        <v/>
      </c>
      <c r="N300" s="14" t="str">
        <f aca="true">IF(A300="","",IF(I300="",IF(E300&lt;&gt;"","To invoice","In progress"),IF(M300&lt;=0,"Paid",IF(TODAY()&gt;J300,"Overdue","Awaiting payment"))))</f>
        <v/>
      </c>
    </row>
    <row r="301" customFormat="false" ht="15" hidden="false" customHeight="false" outlineLevel="0" collapsed="false">
      <c r="A301" s="15"/>
      <c r="B301" s="15"/>
      <c r="C301" s="15"/>
      <c r="D301" s="16"/>
      <c r="E301" s="16"/>
      <c r="F301" s="17"/>
      <c r="G301" s="15"/>
      <c r="H301" s="16"/>
      <c r="I301" s="17"/>
      <c r="J301" s="12" t="str">
        <f aca="false">IF(H301="","",H301+Summary!$B$4)</f>
        <v/>
      </c>
      <c r="K301" s="17"/>
      <c r="L301" s="16"/>
      <c r="M301" s="13" t="str">
        <f aca="false">IF(I301="","",I301-N(K301))</f>
        <v/>
      </c>
      <c r="N301" s="14" t="str">
        <f aca="true">IF(A301="","",IF(I301="",IF(E301&lt;&gt;"","To invoice","In progress"),IF(M301&lt;=0,"Paid",IF(TODAY()&gt;J301,"Overdue","Awaiting payment"))))</f>
        <v/>
      </c>
    </row>
    <row r="302" customFormat="false" ht="15" hidden="false" customHeight="false" outlineLevel="0" collapsed="false">
      <c r="A302" s="15"/>
      <c r="B302" s="15"/>
      <c r="C302" s="15"/>
      <c r="D302" s="16"/>
      <c r="E302" s="16"/>
      <c r="F302" s="17"/>
      <c r="G302" s="15"/>
      <c r="H302" s="16"/>
      <c r="I302" s="17"/>
      <c r="J302" s="12" t="str">
        <f aca="false">IF(H302="","",H302+Summary!$B$4)</f>
        <v/>
      </c>
      <c r="K302" s="17"/>
      <c r="L302" s="16"/>
      <c r="M302" s="13" t="str">
        <f aca="false">IF(I302="","",I302-N(K302))</f>
        <v/>
      </c>
      <c r="N302" s="14" t="str">
        <f aca="true">IF(A302="","",IF(I302="",IF(E302&lt;&gt;"","To invoice","In progress"),IF(M302&lt;=0,"Paid",IF(TODAY()&gt;J302,"Overdue","Awaiting payment"))))</f>
        <v/>
      </c>
    </row>
    <row r="303" customFormat="false" ht="15" hidden="false" customHeight="false" outlineLevel="0" collapsed="false">
      <c r="A303" s="15"/>
      <c r="B303" s="15"/>
      <c r="C303" s="15"/>
      <c r="D303" s="16"/>
      <c r="E303" s="16"/>
      <c r="F303" s="17"/>
      <c r="G303" s="15"/>
      <c r="H303" s="16"/>
      <c r="I303" s="17"/>
      <c r="J303" s="12" t="str">
        <f aca="false">IF(H303="","",H303+Summary!$B$4)</f>
        <v/>
      </c>
      <c r="K303" s="17"/>
      <c r="L303" s="16"/>
      <c r="M303" s="13" t="str">
        <f aca="false">IF(I303="","",I303-N(K303))</f>
        <v/>
      </c>
      <c r="N303" s="14" t="str">
        <f aca="true">IF(A303="","",IF(I303="",IF(E303&lt;&gt;"","To invoice","In progress"),IF(M303&lt;=0,"Paid",IF(TODAY()&gt;J303,"Overdue","Awaiting payment"))))</f>
        <v/>
      </c>
    </row>
    <row r="304" customFormat="false" ht="15" hidden="false" customHeight="false" outlineLevel="0" collapsed="false">
      <c r="A304" s="15"/>
      <c r="B304" s="15"/>
      <c r="C304" s="15"/>
      <c r="D304" s="16"/>
      <c r="E304" s="16"/>
      <c r="F304" s="17"/>
      <c r="G304" s="15"/>
      <c r="H304" s="16"/>
      <c r="I304" s="17"/>
      <c r="J304" s="12" t="str">
        <f aca="false">IF(H304="","",H304+Summary!$B$4)</f>
        <v/>
      </c>
      <c r="K304" s="17"/>
      <c r="L304" s="16"/>
      <c r="M304" s="13" t="str">
        <f aca="false">IF(I304="","",I304-N(K304))</f>
        <v/>
      </c>
      <c r="N304" s="14" t="str">
        <f aca="true">IF(A304="","",IF(I304="",IF(E304&lt;&gt;"","To invoice","In progress"),IF(M304&lt;=0,"Paid",IF(TODAY()&gt;J304,"Overdue","Awaiting payment"))))</f>
        <v/>
      </c>
    </row>
    <row r="305" customFormat="false" ht="15" hidden="false" customHeight="false" outlineLevel="0" collapsed="false">
      <c r="A305" s="15"/>
      <c r="B305" s="15"/>
      <c r="C305" s="15"/>
      <c r="D305" s="16"/>
      <c r="E305" s="16"/>
      <c r="F305" s="17"/>
      <c r="G305" s="15"/>
      <c r="H305" s="16"/>
      <c r="I305" s="17"/>
      <c r="J305" s="12" t="str">
        <f aca="false">IF(H305="","",H305+Summary!$B$4)</f>
        <v/>
      </c>
      <c r="K305" s="17"/>
      <c r="L305" s="16"/>
      <c r="M305" s="13" t="str">
        <f aca="false">IF(I305="","",I305-N(K305))</f>
        <v/>
      </c>
      <c r="N305" s="14" t="str">
        <f aca="true">IF(A305="","",IF(I305="",IF(E305&lt;&gt;"","To invoice","In progress"),IF(M305&lt;=0,"Paid",IF(TODAY()&gt;J305,"Overdue","Awaiting payment"))))</f>
        <v/>
      </c>
    </row>
    <row r="306" customFormat="false" ht="15" hidden="false" customHeight="false" outlineLevel="0" collapsed="false">
      <c r="A306" s="15"/>
      <c r="B306" s="15"/>
      <c r="C306" s="15"/>
      <c r="D306" s="16"/>
      <c r="E306" s="16"/>
      <c r="F306" s="17"/>
      <c r="G306" s="15"/>
      <c r="H306" s="16"/>
      <c r="I306" s="17"/>
      <c r="J306" s="12" t="str">
        <f aca="false">IF(H306="","",H306+Summary!$B$4)</f>
        <v/>
      </c>
      <c r="K306" s="17"/>
      <c r="L306" s="16"/>
      <c r="M306" s="13" t="str">
        <f aca="false">IF(I306="","",I306-N(K306))</f>
        <v/>
      </c>
      <c r="N306" s="14" t="str">
        <f aca="true">IF(A306="","",IF(I306="",IF(E306&lt;&gt;"","To invoice","In progress"),IF(M306&lt;=0,"Paid",IF(TODAY()&gt;J306,"Overdue","Awaiting payment"))))</f>
        <v/>
      </c>
    </row>
    <row r="307" customFormat="false" ht="15" hidden="false" customHeight="false" outlineLevel="0" collapsed="false">
      <c r="A307" s="15"/>
      <c r="B307" s="15"/>
      <c r="C307" s="15"/>
      <c r="D307" s="16"/>
      <c r="E307" s="16"/>
      <c r="F307" s="17"/>
      <c r="G307" s="15"/>
      <c r="H307" s="16"/>
      <c r="I307" s="17"/>
      <c r="J307" s="12" t="str">
        <f aca="false">IF(H307="","",H307+Summary!$B$4)</f>
        <v/>
      </c>
      <c r="K307" s="17"/>
      <c r="L307" s="16"/>
      <c r="M307" s="13" t="str">
        <f aca="false">IF(I307="","",I307-N(K307))</f>
        <v/>
      </c>
      <c r="N307" s="14" t="str">
        <f aca="true">IF(A307="","",IF(I307="",IF(E307&lt;&gt;"","To invoice","In progress"),IF(M307&lt;=0,"Paid",IF(TODAY()&gt;J307,"Overdue","Awaiting payment"))))</f>
        <v/>
      </c>
    </row>
    <row r="308" customFormat="false" ht="15" hidden="false" customHeight="false" outlineLevel="0" collapsed="false">
      <c r="A308" s="15"/>
      <c r="B308" s="15"/>
      <c r="C308" s="15"/>
      <c r="D308" s="16"/>
      <c r="E308" s="16"/>
      <c r="F308" s="17"/>
      <c r="G308" s="15"/>
      <c r="H308" s="16"/>
      <c r="I308" s="17"/>
      <c r="J308" s="12" t="str">
        <f aca="false">IF(H308="","",H308+Summary!$B$4)</f>
        <v/>
      </c>
      <c r="K308" s="17"/>
      <c r="L308" s="16"/>
      <c r="M308" s="13" t="str">
        <f aca="false">IF(I308="","",I308-N(K308))</f>
        <v/>
      </c>
      <c r="N308" s="14" t="str">
        <f aca="true">IF(A308="","",IF(I308="",IF(E308&lt;&gt;"","To invoice","In progress"),IF(M308&lt;=0,"Paid",IF(TODAY()&gt;J308,"Overdue","Awaiting payment"))))</f>
        <v/>
      </c>
    </row>
    <row r="309" customFormat="false" ht="15" hidden="false" customHeight="false" outlineLevel="0" collapsed="false">
      <c r="A309" s="15"/>
      <c r="B309" s="15"/>
      <c r="C309" s="15"/>
      <c r="D309" s="16"/>
      <c r="E309" s="16"/>
      <c r="F309" s="17"/>
      <c r="G309" s="15"/>
      <c r="H309" s="16"/>
      <c r="I309" s="17"/>
      <c r="J309" s="12" t="str">
        <f aca="false">IF(H309="","",H309+Summary!$B$4)</f>
        <v/>
      </c>
      <c r="K309" s="17"/>
      <c r="L309" s="16"/>
      <c r="M309" s="13" t="str">
        <f aca="false">IF(I309="","",I309-N(K309))</f>
        <v/>
      </c>
      <c r="N309" s="14" t="str">
        <f aca="true">IF(A309="","",IF(I309="",IF(E309&lt;&gt;"","To invoice","In progress"),IF(M309&lt;=0,"Paid",IF(TODAY()&gt;J309,"Overdue","Awaiting payment"))))</f>
        <v/>
      </c>
    </row>
    <row r="310" customFormat="false" ht="15" hidden="false" customHeight="false" outlineLevel="0" collapsed="false">
      <c r="A310" s="15"/>
      <c r="B310" s="15"/>
      <c r="C310" s="15"/>
      <c r="D310" s="16"/>
      <c r="E310" s="16"/>
      <c r="F310" s="17"/>
      <c r="G310" s="15"/>
      <c r="H310" s="16"/>
      <c r="I310" s="17"/>
      <c r="J310" s="12" t="str">
        <f aca="false">IF(H310="","",H310+Summary!$B$4)</f>
        <v/>
      </c>
      <c r="K310" s="17"/>
      <c r="L310" s="16"/>
      <c r="M310" s="13" t="str">
        <f aca="false">IF(I310="","",I310-N(K310))</f>
        <v/>
      </c>
      <c r="N310" s="14" t="str">
        <f aca="true">IF(A310="","",IF(I310="",IF(E310&lt;&gt;"","To invoice","In progress"),IF(M310&lt;=0,"Paid",IF(TODAY()&gt;J310,"Overdue","Awaiting payment"))))</f>
        <v/>
      </c>
    </row>
    <row r="311" customFormat="false" ht="15" hidden="false" customHeight="false" outlineLevel="0" collapsed="false">
      <c r="A311" s="15"/>
      <c r="B311" s="15"/>
      <c r="C311" s="15"/>
      <c r="D311" s="16"/>
      <c r="E311" s="16"/>
      <c r="F311" s="17"/>
      <c r="G311" s="15"/>
      <c r="H311" s="16"/>
      <c r="I311" s="17"/>
      <c r="J311" s="12" t="str">
        <f aca="false">IF(H311="","",H311+Summary!$B$4)</f>
        <v/>
      </c>
      <c r="K311" s="17"/>
      <c r="L311" s="16"/>
      <c r="M311" s="13" t="str">
        <f aca="false">IF(I311="","",I311-N(K311))</f>
        <v/>
      </c>
      <c r="N311" s="14" t="str">
        <f aca="true">IF(A311="","",IF(I311="",IF(E311&lt;&gt;"","To invoice","In progress"),IF(M311&lt;=0,"Paid",IF(TODAY()&gt;J311,"Overdue","Awaiting payment"))))</f>
        <v/>
      </c>
    </row>
    <row r="312" customFormat="false" ht="15" hidden="false" customHeight="false" outlineLevel="0" collapsed="false">
      <c r="A312" s="15"/>
      <c r="B312" s="15"/>
      <c r="C312" s="15"/>
      <c r="D312" s="16"/>
      <c r="E312" s="16"/>
      <c r="F312" s="17"/>
      <c r="G312" s="15"/>
      <c r="H312" s="16"/>
      <c r="I312" s="17"/>
      <c r="J312" s="12" t="str">
        <f aca="false">IF(H312="","",H312+Summary!$B$4)</f>
        <v/>
      </c>
      <c r="K312" s="17"/>
      <c r="L312" s="16"/>
      <c r="M312" s="13" t="str">
        <f aca="false">IF(I312="","",I312-N(K312))</f>
        <v/>
      </c>
      <c r="N312" s="14" t="str">
        <f aca="true">IF(A312="","",IF(I312="",IF(E312&lt;&gt;"","To invoice","In progress"),IF(M312&lt;=0,"Paid",IF(TODAY()&gt;J312,"Overdue","Awaiting payment"))))</f>
        <v/>
      </c>
    </row>
    <row r="313" customFormat="false" ht="15" hidden="false" customHeight="false" outlineLevel="0" collapsed="false">
      <c r="A313" s="15"/>
      <c r="B313" s="15"/>
      <c r="C313" s="15"/>
      <c r="D313" s="16"/>
      <c r="E313" s="16"/>
      <c r="F313" s="17"/>
      <c r="G313" s="15"/>
      <c r="H313" s="16"/>
      <c r="I313" s="17"/>
      <c r="J313" s="12" t="str">
        <f aca="false">IF(H313="","",H313+Summary!$B$4)</f>
        <v/>
      </c>
      <c r="K313" s="17"/>
      <c r="L313" s="16"/>
      <c r="M313" s="13" t="str">
        <f aca="false">IF(I313="","",I313-N(K313))</f>
        <v/>
      </c>
      <c r="N313" s="14" t="str">
        <f aca="true">IF(A313="","",IF(I313="",IF(E313&lt;&gt;"","To invoice","In progress"),IF(M313&lt;=0,"Paid",IF(TODAY()&gt;J313,"Overdue","Awaiting payment"))))</f>
        <v/>
      </c>
    </row>
    <row r="314" customFormat="false" ht="15" hidden="false" customHeight="false" outlineLevel="0" collapsed="false">
      <c r="A314" s="15"/>
      <c r="B314" s="15"/>
      <c r="C314" s="15"/>
      <c r="D314" s="16"/>
      <c r="E314" s="16"/>
      <c r="F314" s="17"/>
      <c r="G314" s="15"/>
      <c r="H314" s="16"/>
      <c r="I314" s="17"/>
      <c r="J314" s="12" t="str">
        <f aca="false">IF(H314="","",H314+Summary!$B$4)</f>
        <v/>
      </c>
      <c r="K314" s="17"/>
      <c r="L314" s="16"/>
      <c r="M314" s="13" t="str">
        <f aca="false">IF(I314="","",I314-N(K314))</f>
        <v/>
      </c>
      <c r="N314" s="14" t="str">
        <f aca="true">IF(A314="","",IF(I314="",IF(E314&lt;&gt;"","To invoice","In progress"),IF(M314&lt;=0,"Paid",IF(TODAY()&gt;J314,"Overdue","Awaiting payment"))))</f>
        <v/>
      </c>
    </row>
    <row r="315" customFormat="false" ht="15" hidden="false" customHeight="false" outlineLevel="0" collapsed="false">
      <c r="A315" s="15"/>
      <c r="B315" s="15"/>
      <c r="C315" s="15"/>
      <c r="D315" s="16"/>
      <c r="E315" s="16"/>
      <c r="F315" s="17"/>
      <c r="G315" s="15"/>
      <c r="H315" s="16"/>
      <c r="I315" s="17"/>
      <c r="J315" s="12" t="str">
        <f aca="false">IF(H315="","",H315+Summary!$B$4)</f>
        <v/>
      </c>
      <c r="K315" s="17"/>
      <c r="L315" s="16"/>
      <c r="M315" s="13" t="str">
        <f aca="false">IF(I315="","",I315-N(K315))</f>
        <v/>
      </c>
      <c r="N315" s="14" t="str">
        <f aca="true">IF(A315="","",IF(I315="",IF(E315&lt;&gt;"","To invoice","In progress"),IF(M315&lt;=0,"Paid",IF(TODAY()&gt;J315,"Overdue","Awaiting payment"))))</f>
        <v/>
      </c>
    </row>
    <row r="316" customFormat="false" ht="15" hidden="false" customHeight="false" outlineLevel="0" collapsed="false">
      <c r="A316" s="15"/>
      <c r="B316" s="15"/>
      <c r="C316" s="15"/>
      <c r="D316" s="16"/>
      <c r="E316" s="16"/>
      <c r="F316" s="17"/>
      <c r="G316" s="15"/>
      <c r="H316" s="16"/>
      <c r="I316" s="17"/>
      <c r="J316" s="12" t="str">
        <f aca="false">IF(H316="","",H316+Summary!$B$4)</f>
        <v/>
      </c>
      <c r="K316" s="17"/>
      <c r="L316" s="16"/>
      <c r="M316" s="13" t="str">
        <f aca="false">IF(I316="","",I316-N(K316))</f>
        <v/>
      </c>
      <c r="N316" s="14" t="str">
        <f aca="true">IF(A316="","",IF(I316="",IF(E316&lt;&gt;"","To invoice","In progress"),IF(M316&lt;=0,"Paid",IF(TODAY()&gt;J316,"Overdue","Awaiting payment"))))</f>
        <v/>
      </c>
    </row>
    <row r="317" customFormat="false" ht="15" hidden="false" customHeight="false" outlineLevel="0" collapsed="false">
      <c r="A317" s="15"/>
      <c r="B317" s="15"/>
      <c r="C317" s="15"/>
      <c r="D317" s="16"/>
      <c r="E317" s="16"/>
      <c r="F317" s="17"/>
      <c r="G317" s="15"/>
      <c r="H317" s="16"/>
      <c r="I317" s="17"/>
      <c r="J317" s="12" t="str">
        <f aca="false">IF(H317="","",H317+Summary!$B$4)</f>
        <v/>
      </c>
      <c r="K317" s="17"/>
      <c r="L317" s="16"/>
      <c r="M317" s="13" t="str">
        <f aca="false">IF(I317="","",I317-N(K317))</f>
        <v/>
      </c>
      <c r="N317" s="14" t="str">
        <f aca="true">IF(A317="","",IF(I317="",IF(E317&lt;&gt;"","To invoice","In progress"),IF(M317&lt;=0,"Paid",IF(TODAY()&gt;J317,"Overdue","Awaiting payment"))))</f>
        <v/>
      </c>
    </row>
    <row r="318" customFormat="false" ht="15" hidden="false" customHeight="false" outlineLevel="0" collapsed="false">
      <c r="A318" s="15"/>
      <c r="B318" s="15"/>
      <c r="C318" s="15"/>
      <c r="D318" s="16"/>
      <c r="E318" s="16"/>
      <c r="F318" s="17"/>
      <c r="G318" s="15"/>
      <c r="H318" s="16"/>
      <c r="I318" s="17"/>
      <c r="J318" s="12" t="str">
        <f aca="false">IF(H318="","",H318+Summary!$B$4)</f>
        <v/>
      </c>
      <c r="K318" s="17"/>
      <c r="L318" s="16"/>
      <c r="M318" s="13" t="str">
        <f aca="false">IF(I318="","",I318-N(K318))</f>
        <v/>
      </c>
      <c r="N318" s="14" t="str">
        <f aca="true">IF(A318="","",IF(I318="",IF(E318&lt;&gt;"","To invoice","In progress"),IF(M318&lt;=0,"Paid",IF(TODAY()&gt;J318,"Overdue","Awaiting payment"))))</f>
        <v/>
      </c>
    </row>
    <row r="319" customFormat="false" ht="15" hidden="false" customHeight="false" outlineLevel="0" collapsed="false">
      <c r="A319" s="15"/>
      <c r="B319" s="15"/>
      <c r="C319" s="15"/>
      <c r="D319" s="16"/>
      <c r="E319" s="16"/>
      <c r="F319" s="17"/>
      <c r="G319" s="15"/>
      <c r="H319" s="16"/>
      <c r="I319" s="17"/>
      <c r="J319" s="12" t="str">
        <f aca="false">IF(H319="","",H319+Summary!$B$4)</f>
        <v/>
      </c>
      <c r="K319" s="17"/>
      <c r="L319" s="16"/>
      <c r="M319" s="13" t="str">
        <f aca="false">IF(I319="","",I319-N(K319))</f>
        <v/>
      </c>
      <c r="N319" s="14" t="str">
        <f aca="true">IF(A319="","",IF(I319="",IF(E319&lt;&gt;"","To invoice","In progress"),IF(M319&lt;=0,"Paid",IF(TODAY()&gt;J319,"Overdue","Awaiting payment"))))</f>
        <v/>
      </c>
    </row>
    <row r="320" customFormat="false" ht="15" hidden="false" customHeight="false" outlineLevel="0" collapsed="false">
      <c r="A320" s="15"/>
      <c r="B320" s="15"/>
      <c r="C320" s="15"/>
      <c r="D320" s="16"/>
      <c r="E320" s="16"/>
      <c r="F320" s="17"/>
      <c r="G320" s="15"/>
      <c r="H320" s="16"/>
      <c r="I320" s="17"/>
      <c r="J320" s="12" t="str">
        <f aca="false">IF(H320="","",H320+Summary!$B$4)</f>
        <v/>
      </c>
      <c r="K320" s="17"/>
      <c r="L320" s="16"/>
      <c r="M320" s="13" t="str">
        <f aca="false">IF(I320="","",I320-N(K320))</f>
        <v/>
      </c>
      <c r="N320" s="14" t="str">
        <f aca="true">IF(A320="","",IF(I320="",IF(E320&lt;&gt;"","To invoice","In progress"),IF(M320&lt;=0,"Paid",IF(TODAY()&gt;J320,"Overdue","Awaiting payment"))))</f>
        <v/>
      </c>
    </row>
    <row r="321" customFormat="false" ht="15" hidden="false" customHeight="false" outlineLevel="0" collapsed="false">
      <c r="A321" s="15"/>
      <c r="B321" s="15"/>
      <c r="C321" s="15"/>
      <c r="D321" s="16"/>
      <c r="E321" s="16"/>
      <c r="F321" s="17"/>
      <c r="G321" s="15"/>
      <c r="H321" s="16"/>
      <c r="I321" s="17"/>
      <c r="J321" s="12" t="str">
        <f aca="false">IF(H321="","",H321+Summary!$B$4)</f>
        <v/>
      </c>
      <c r="K321" s="17"/>
      <c r="L321" s="16"/>
      <c r="M321" s="13" t="str">
        <f aca="false">IF(I321="","",I321-N(K321))</f>
        <v/>
      </c>
      <c r="N321" s="14" t="str">
        <f aca="true">IF(A321="","",IF(I321="",IF(E321&lt;&gt;"","To invoice","In progress"),IF(M321&lt;=0,"Paid",IF(TODAY()&gt;J321,"Overdue","Awaiting payment"))))</f>
        <v/>
      </c>
    </row>
    <row r="322" customFormat="false" ht="15" hidden="false" customHeight="false" outlineLevel="0" collapsed="false">
      <c r="A322" s="15"/>
      <c r="B322" s="15"/>
      <c r="C322" s="15"/>
      <c r="D322" s="16"/>
      <c r="E322" s="16"/>
      <c r="F322" s="17"/>
      <c r="G322" s="15"/>
      <c r="H322" s="16"/>
      <c r="I322" s="17"/>
      <c r="J322" s="12" t="str">
        <f aca="false">IF(H322="","",H322+Summary!$B$4)</f>
        <v/>
      </c>
      <c r="K322" s="17"/>
      <c r="L322" s="16"/>
      <c r="M322" s="13" t="str">
        <f aca="false">IF(I322="","",I322-N(K322))</f>
        <v/>
      </c>
      <c r="N322" s="14" t="str">
        <f aca="true">IF(A322="","",IF(I322="",IF(E322&lt;&gt;"","To invoice","In progress"),IF(M322&lt;=0,"Paid",IF(TODAY()&gt;J322,"Overdue","Awaiting payment"))))</f>
        <v/>
      </c>
    </row>
    <row r="323" customFormat="false" ht="15" hidden="false" customHeight="false" outlineLevel="0" collapsed="false">
      <c r="A323" s="15"/>
      <c r="B323" s="15"/>
      <c r="C323" s="15"/>
      <c r="D323" s="16"/>
      <c r="E323" s="16"/>
      <c r="F323" s="17"/>
      <c r="G323" s="15"/>
      <c r="H323" s="16"/>
      <c r="I323" s="17"/>
      <c r="J323" s="12" t="str">
        <f aca="false">IF(H323="","",H323+Summary!$B$4)</f>
        <v/>
      </c>
      <c r="K323" s="17"/>
      <c r="L323" s="16"/>
      <c r="M323" s="13" t="str">
        <f aca="false">IF(I323="","",I323-N(K323))</f>
        <v/>
      </c>
      <c r="N323" s="14" t="str">
        <f aca="true">IF(A323="","",IF(I323="",IF(E323&lt;&gt;"","To invoice","In progress"),IF(M323&lt;=0,"Paid",IF(TODAY()&gt;J323,"Overdue","Awaiting payment"))))</f>
        <v/>
      </c>
    </row>
    <row r="324" customFormat="false" ht="15" hidden="false" customHeight="false" outlineLevel="0" collapsed="false">
      <c r="A324" s="15"/>
      <c r="B324" s="15"/>
      <c r="C324" s="15"/>
      <c r="D324" s="16"/>
      <c r="E324" s="16"/>
      <c r="F324" s="17"/>
      <c r="G324" s="15"/>
      <c r="H324" s="16"/>
      <c r="I324" s="17"/>
      <c r="J324" s="12" t="str">
        <f aca="false">IF(H324="","",H324+Summary!$B$4)</f>
        <v/>
      </c>
      <c r="K324" s="17"/>
      <c r="L324" s="16"/>
      <c r="M324" s="13" t="str">
        <f aca="false">IF(I324="","",I324-N(K324))</f>
        <v/>
      </c>
      <c r="N324" s="14" t="str">
        <f aca="true">IF(A324="","",IF(I324="",IF(E324&lt;&gt;"","To invoice","In progress"),IF(M324&lt;=0,"Paid",IF(TODAY()&gt;J324,"Overdue","Awaiting payment"))))</f>
        <v/>
      </c>
    </row>
    <row r="325" customFormat="false" ht="15" hidden="false" customHeight="false" outlineLevel="0" collapsed="false">
      <c r="A325" s="15"/>
      <c r="B325" s="15"/>
      <c r="C325" s="15"/>
      <c r="D325" s="16"/>
      <c r="E325" s="16"/>
      <c r="F325" s="17"/>
      <c r="G325" s="15"/>
      <c r="H325" s="16"/>
      <c r="I325" s="17"/>
      <c r="J325" s="12" t="str">
        <f aca="false">IF(H325="","",H325+Summary!$B$4)</f>
        <v/>
      </c>
      <c r="K325" s="17"/>
      <c r="L325" s="16"/>
      <c r="M325" s="13" t="str">
        <f aca="false">IF(I325="","",I325-N(K325))</f>
        <v/>
      </c>
      <c r="N325" s="14" t="str">
        <f aca="true">IF(A325="","",IF(I325="",IF(E325&lt;&gt;"","To invoice","In progress"),IF(M325&lt;=0,"Paid",IF(TODAY()&gt;J325,"Overdue","Awaiting payment"))))</f>
        <v/>
      </c>
    </row>
    <row r="326" customFormat="false" ht="15" hidden="false" customHeight="false" outlineLevel="0" collapsed="false">
      <c r="A326" s="15"/>
      <c r="B326" s="15"/>
      <c r="C326" s="15"/>
      <c r="D326" s="16"/>
      <c r="E326" s="16"/>
      <c r="F326" s="17"/>
      <c r="G326" s="15"/>
      <c r="H326" s="16"/>
      <c r="I326" s="17"/>
      <c r="J326" s="12" t="str">
        <f aca="false">IF(H326="","",H326+Summary!$B$4)</f>
        <v/>
      </c>
      <c r="K326" s="17"/>
      <c r="L326" s="16"/>
      <c r="M326" s="13" t="str">
        <f aca="false">IF(I326="","",I326-N(K326))</f>
        <v/>
      </c>
      <c r="N326" s="14" t="str">
        <f aca="true">IF(A326="","",IF(I326="",IF(E326&lt;&gt;"","To invoice","In progress"),IF(M326&lt;=0,"Paid",IF(TODAY()&gt;J326,"Overdue","Awaiting payment"))))</f>
        <v/>
      </c>
    </row>
    <row r="327" customFormat="false" ht="15" hidden="false" customHeight="false" outlineLevel="0" collapsed="false">
      <c r="A327" s="15"/>
      <c r="B327" s="15"/>
      <c r="C327" s="15"/>
      <c r="D327" s="16"/>
      <c r="E327" s="16"/>
      <c r="F327" s="17"/>
      <c r="G327" s="15"/>
      <c r="H327" s="16"/>
      <c r="I327" s="17"/>
      <c r="J327" s="12" t="str">
        <f aca="false">IF(H327="","",H327+Summary!$B$4)</f>
        <v/>
      </c>
      <c r="K327" s="17"/>
      <c r="L327" s="16"/>
      <c r="M327" s="13" t="str">
        <f aca="false">IF(I327="","",I327-N(K327))</f>
        <v/>
      </c>
      <c r="N327" s="14" t="str">
        <f aca="true">IF(A327="","",IF(I327="",IF(E327&lt;&gt;"","To invoice","In progress"),IF(M327&lt;=0,"Paid",IF(TODAY()&gt;J327,"Overdue","Awaiting payment"))))</f>
        <v/>
      </c>
    </row>
    <row r="328" customFormat="false" ht="15" hidden="false" customHeight="false" outlineLevel="0" collapsed="false">
      <c r="A328" s="15"/>
      <c r="B328" s="15"/>
      <c r="C328" s="15"/>
      <c r="D328" s="16"/>
      <c r="E328" s="16"/>
      <c r="F328" s="17"/>
      <c r="G328" s="15"/>
      <c r="H328" s="16"/>
      <c r="I328" s="17"/>
      <c r="J328" s="12" t="str">
        <f aca="false">IF(H328="","",H328+Summary!$B$4)</f>
        <v/>
      </c>
      <c r="K328" s="17"/>
      <c r="L328" s="16"/>
      <c r="M328" s="13" t="str">
        <f aca="false">IF(I328="","",I328-N(K328))</f>
        <v/>
      </c>
      <c r="N328" s="14" t="str">
        <f aca="true">IF(A328="","",IF(I328="",IF(E328&lt;&gt;"","To invoice","In progress"),IF(M328&lt;=0,"Paid",IF(TODAY()&gt;J328,"Overdue","Awaiting payment"))))</f>
        <v/>
      </c>
    </row>
    <row r="329" customFormat="false" ht="15" hidden="false" customHeight="false" outlineLevel="0" collapsed="false">
      <c r="A329" s="15"/>
      <c r="B329" s="15"/>
      <c r="C329" s="15"/>
      <c r="D329" s="16"/>
      <c r="E329" s="16"/>
      <c r="F329" s="17"/>
      <c r="G329" s="15"/>
      <c r="H329" s="16"/>
      <c r="I329" s="17"/>
      <c r="J329" s="12" t="str">
        <f aca="false">IF(H329="","",H329+Summary!$B$4)</f>
        <v/>
      </c>
      <c r="K329" s="17"/>
      <c r="L329" s="16"/>
      <c r="M329" s="13" t="str">
        <f aca="false">IF(I329="","",I329-N(K329))</f>
        <v/>
      </c>
      <c r="N329" s="14" t="str">
        <f aca="true">IF(A329="","",IF(I329="",IF(E329&lt;&gt;"","To invoice","In progress"),IF(M329&lt;=0,"Paid",IF(TODAY()&gt;J329,"Overdue","Awaiting payment"))))</f>
        <v/>
      </c>
    </row>
    <row r="330" customFormat="false" ht="15" hidden="false" customHeight="false" outlineLevel="0" collapsed="false">
      <c r="A330" s="15"/>
      <c r="B330" s="15"/>
      <c r="C330" s="15"/>
      <c r="D330" s="16"/>
      <c r="E330" s="16"/>
      <c r="F330" s="17"/>
      <c r="G330" s="15"/>
      <c r="H330" s="16"/>
      <c r="I330" s="17"/>
      <c r="J330" s="12" t="str">
        <f aca="false">IF(H330="","",H330+Summary!$B$4)</f>
        <v/>
      </c>
      <c r="K330" s="17"/>
      <c r="L330" s="16"/>
      <c r="M330" s="13" t="str">
        <f aca="false">IF(I330="","",I330-N(K330))</f>
        <v/>
      </c>
      <c r="N330" s="14" t="str">
        <f aca="true">IF(A330="","",IF(I330="",IF(E330&lt;&gt;"","To invoice","In progress"),IF(M330&lt;=0,"Paid",IF(TODAY()&gt;J330,"Overdue","Awaiting payment"))))</f>
        <v/>
      </c>
    </row>
    <row r="331" customFormat="false" ht="15" hidden="false" customHeight="false" outlineLevel="0" collapsed="false">
      <c r="A331" s="15"/>
      <c r="B331" s="15"/>
      <c r="C331" s="15"/>
      <c r="D331" s="16"/>
      <c r="E331" s="16"/>
      <c r="F331" s="17"/>
      <c r="G331" s="15"/>
      <c r="H331" s="16"/>
      <c r="I331" s="17"/>
      <c r="J331" s="12" t="str">
        <f aca="false">IF(H331="","",H331+Summary!$B$4)</f>
        <v/>
      </c>
      <c r="K331" s="17"/>
      <c r="L331" s="16"/>
      <c r="M331" s="13" t="str">
        <f aca="false">IF(I331="","",I331-N(K331))</f>
        <v/>
      </c>
      <c r="N331" s="14" t="str">
        <f aca="true">IF(A331="","",IF(I331="",IF(E331&lt;&gt;"","To invoice","In progress"),IF(M331&lt;=0,"Paid",IF(TODAY()&gt;J331,"Overdue","Awaiting payment"))))</f>
        <v/>
      </c>
    </row>
    <row r="332" customFormat="false" ht="15" hidden="false" customHeight="false" outlineLevel="0" collapsed="false">
      <c r="A332" s="15"/>
      <c r="B332" s="15"/>
      <c r="C332" s="15"/>
      <c r="D332" s="16"/>
      <c r="E332" s="16"/>
      <c r="F332" s="17"/>
      <c r="G332" s="15"/>
      <c r="H332" s="16"/>
      <c r="I332" s="17"/>
      <c r="J332" s="12" t="str">
        <f aca="false">IF(H332="","",H332+Summary!$B$4)</f>
        <v/>
      </c>
      <c r="K332" s="17"/>
      <c r="L332" s="16"/>
      <c r="M332" s="13" t="str">
        <f aca="false">IF(I332="","",I332-N(K332))</f>
        <v/>
      </c>
      <c r="N332" s="14" t="str">
        <f aca="true">IF(A332="","",IF(I332="",IF(E332&lt;&gt;"","To invoice","In progress"),IF(M332&lt;=0,"Paid",IF(TODAY()&gt;J332,"Overdue","Awaiting payment"))))</f>
        <v/>
      </c>
    </row>
    <row r="333" customFormat="false" ht="15" hidden="false" customHeight="false" outlineLevel="0" collapsed="false">
      <c r="A333" s="15"/>
      <c r="B333" s="15"/>
      <c r="C333" s="15"/>
      <c r="D333" s="16"/>
      <c r="E333" s="16"/>
      <c r="F333" s="17"/>
      <c r="G333" s="15"/>
      <c r="H333" s="16"/>
      <c r="I333" s="17"/>
      <c r="J333" s="12" t="str">
        <f aca="false">IF(H333="","",H333+Summary!$B$4)</f>
        <v/>
      </c>
      <c r="K333" s="17"/>
      <c r="L333" s="16"/>
      <c r="M333" s="13" t="str">
        <f aca="false">IF(I333="","",I333-N(K333))</f>
        <v/>
      </c>
      <c r="N333" s="14" t="str">
        <f aca="true">IF(A333="","",IF(I333="",IF(E333&lt;&gt;"","To invoice","In progress"),IF(M333&lt;=0,"Paid",IF(TODAY()&gt;J333,"Overdue","Awaiting payment"))))</f>
        <v/>
      </c>
    </row>
    <row r="334" customFormat="false" ht="15" hidden="false" customHeight="false" outlineLevel="0" collapsed="false">
      <c r="A334" s="15"/>
      <c r="B334" s="15"/>
      <c r="C334" s="15"/>
      <c r="D334" s="16"/>
      <c r="E334" s="16"/>
      <c r="F334" s="17"/>
      <c r="G334" s="15"/>
      <c r="H334" s="16"/>
      <c r="I334" s="17"/>
      <c r="J334" s="12" t="str">
        <f aca="false">IF(H334="","",H334+Summary!$B$4)</f>
        <v/>
      </c>
      <c r="K334" s="17"/>
      <c r="L334" s="16"/>
      <c r="M334" s="13" t="str">
        <f aca="false">IF(I334="","",I334-N(K334))</f>
        <v/>
      </c>
      <c r="N334" s="14" t="str">
        <f aca="true">IF(A334="","",IF(I334="",IF(E334&lt;&gt;"","To invoice","In progress"),IF(M334&lt;=0,"Paid",IF(TODAY()&gt;J334,"Overdue","Awaiting payment"))))</f>
        <v/>
      </c>
    </row>
    <row r="335" customFormat="false" ht="15" hidden="false" customHeight="false" outlineLevel="0" collapsed="false">
      <c r="A335" s="15"/>
      <c r="B335" s="15"/>
      <c r="C335" s="15"/>
      <c r="D335" s="16"/>
      <c r="E335" s="16"/>
      <c r="F335" s="17"/>
      <c r="G335" s="15"/>
      <c r="H335" s="16"/>
      <c r="I335" s="17"/>
      <c r="J335" s="12" t="str">
        <f aca="false">IF(H335="","",H335+Summary!$B$4)</f>
        <v/>
      </c>
      <c r="K335" s="17"/>
      <c r="L335" s="16"/>
      <c r="M335" s="13" t="str">
        <f aca="false">IF(I335="","",I335-N(K335))</f>
        <v/>
      </c>
      <c r="N335" s="14" t="str">
        <f aca="true">IF(A335="","",IF(I335="",IF(E335&lt;&gt;"","To invoice","In progress"),IF(M335&lt;=0,"Paid",IF(TODAY()&gt;J335,"Overdue","Awaiting payment"))))</f>
        <v/>
      </c>
    </row>
    <row r="336" customFormat="false" ht="15" hidden="false" customHeight="false" outlineLevel="0" collapsed="false">
      <c r="A336" s="15"/>
      <c r="B336" s="15"/>
      <c r="C336" s="15"/>
      <c r="D336" s="16"/>
      <c r="E336" s="16"/>
      <c r="F336" s="17"/>
      <c r="G336" s="15"/>
      <c r="H336" s="16"/>
      <c r="I336" s="17"/>
      <c r="J336" s="12" t="str">
        <f aca="false">IF(H336="","",H336+Summary!$B$4)</f>
        <v/>
      </c>
      <c r="K336" s="17"/>
      <c r="L336" s="16"/>
      <c r="M336" s="13" t="str">
        <f aca="false">IF(I336="","",I336-N(K336))</f>
        <v/>
      </c>
      <c r="N336" s="14" t="str">
        <f aca="true">IF(A336="","",IF(I336="",IF(E336&lt;&gt;"","To invoice","In progress"),IF(M336&lt;=0,"Paid",IF(TODAY()&gt;J336,"Overdue","Awaiting payment"))))</f>
        <v/>
      </c>
    </row>
    <row r="337" customFormat="false" ht="15" hidden="false" customHeight="false" outlineLevel="0" collapsed="false">
      <c r="A337" s="15"/>
      <c r="B337" s="15"/>
      <c r="C337" s="15"/>
      <c r="D337" s="16"/>
      <c r="E337" s="16"/>
      <c r="F337" s="17"/>
      <c r="G337" s="15"/>
      <c r="H337" s="16"/>
      <c r="I337" s="17"/>
      <c r="J337" s="12" t="str">
        <f aca="false">IF(H337="","",H337+Summary!$B$4)</f>
        <v/>
      </c>
      <c r="K337" s="17"/>
      <c r="L337" s="16"/>
      <c r="M337" s="13" t="str">
        <f aca="false">IF(I337="","",I337-N(K337))</f>
        <v/>
      </c>
      <c r="N337" s="14" t="str">
        <f aca="true">IF(A337="","",IF(I337="",IF(E337&lt;&gt;"","To invoice","In progress"),IF(M337&lt;=0,"Paid",IF(TODAY()&gt;J337,"Overdue","Awaiting payment"))))</f>
        <v/>
      </c>
    </row>
    <row r="338" customFormat="false" ht="15" hidden="false" customHeight="false" outlineLevel="0" collapsed="false">
      <c r="A338" s="15"/>
      <c r="B338" s="15"/>
      <c r="C338" s="15"/>
      <c r="D338" s="16"/>
      <c r="E338" s="16"/>
      <c r="F338" s="17"/>
      <c r="G338" s="15"/>
      <c r="H338" s="16"/>
      <c r="I338" s="17"/>
      <c r="J338" s="12" t="str">
        <f aca="false">IF(H338="","",H338+Summary!$B$4)</f>
        <v/>
      </c>
      <c r="K338" s="17"/>
      <c r="L338" s="16"/>
      <c r="M338" s="13" t="str">
        <f aca="false">IF(I338="","",I338-N(K338))</f>
        <v/>
      </c>
      <c r="N338" s="14" t="str">
        <f aca="true">IF(A338="","",IF(I338="",IF(E338&lt;&gt;"","To invoice","In progress"),IF(M338&lt;=0,"Paid",IF(TODAY()&gt;J338,"Overdue","Awaiting payment"))))</f>
        <v/>
      </c>
    </row>
    <row r="339" customFormat="false" ht="15" hidden="false" customHeight="false" outlineLevel="0" collapsed="false">
      <c r="A339" s="15"/>
      <c r="B339" s="15"/>
      <c r="C339" s="15"/>
      <c r="D339" s="16"/>
      <c r="E339" s="16"/>
      <c r="F339" s="17"/>
      <c r="G339" s="15"/>
      <c r="H339" s="16"/>
      <c r="I339" s="17"/>
      <c r="J339" s="12" t="str">
        <f aca="false">IF(H339="","",H339+Summary!$B$4)</f>
        <v/>
      </c>
      <c r="K339" s="17"/>
      <c r="L339" s="16"/>
      <c r="M339" s="13" t="str">
        <f aca="false">IF(I339="","",I339-N(K339))</f>
        <v/>
      </c>
      <c r="N339" s="14" t="str">
        <f aca="true">IF(A339="","",IF(I339="",IF(E339&lt;&gt;"","To invoice","In progress"),IF(M339&lt;=0,"Paid",IF(TODAY()&gt;J339,"Overdue","Awaiting payment"))))</f>
        <v/>
      </c>
    </row>
    <row r="340" customFormat="false" ht="15" hidden="false" customHeight="false" outlineLevel="0" collapsed="false">
      <c r="A340" s="15"/>
      <c r="B340" s="15"/>
      <c r="C340" s="15"/>
      <c r="D340" s="16"/>
      <c r="E340" s="16"/>
      <c r="F340" s="17"/>
      <c r="G340" s="15"/>
      <c r="H340" s="16"/>
      <c r="I340" s="17"/>
      <c r="J340" s="12" t="str">
        <f aca="false">IF(H340="","",H340+Summary!$B$4)</f>
        <v/>
      </c>
      <c r="K340" s="17"/>
      <c r="L340" s="16"/>
      <c r="M340" s="13" t="str">
        <f aca="false">IF(I340="","",I340-N(K340))</f>
        <v/>
      </c>
      <c r="N340" s="14" t="str">
        <f aca="true">IF(A340="","",IF(I340="",IF(E340&lt;&gt;"","To invoice","In progress"),IF(M340&lt;=0,"Paid",IF(TODAY()&gt;J340,"Overdue","Awaiting payment"))))</f>
        <v/>
      </c>
    </row>
    <row r="341" customFormat="false" ht="15" hidden="false" customHeight="false" outlineLevel="0" collapsed="false">
      <c r="A341" s="15"/>
      <c r="B341" s="15"/>
      <c r="C341" s="15"/>
      <c r="D341" s="16"/>
      <c r="E341" s="16"/>
      <c r="F341" s="17"/>
      <c r="G341" s="15"/>
      <c r="H341" s="16"/>
      <c r="I341" s="17"/>
      <c r="J341" s="12" t="str">
        <f aca="false">IF(H341="","",H341+Summary!$B$4)</f>
        <v/>
      </c>
      <c r="K341" s="17"/>
      <c r="L341" s="16"/>
      <c r="M341" s="13" t="str">
        <f aca="false">IF(I341="","",I341-N(K341))</f>
        <v/>
      </c>
      <c r="N341" s="14" t="str">
        <f aca="true">IF(A341="","",IF(I341="",IF(E341&lt;&gt;"","To invoice","In progress"),IF(M341&lt;=0,"Paid",IF(TODAY()&gt;J341,"Overdue","Awaiting payment"))))</f>
        <v/>
      </c>
    </row>
    <row r="342" customFormat="false" ht="15" hidden="false" customHeight="false" outlineLevel="0" collapsed="false">
      <c r="A342" s="15"/>
      <c r="B342" s="15"/>
      <c r="C342" s="15"/>
      <c r="D342" s="16"/>
      <c r="E342" s="16"/>
      <c r="F342" s="17"/>
      <c r="G342" s="15"/>
      <c r="H342" s="16"/>
      <c r="I342" s="17"/>
      <c r="J342" s="12" t="str">
        <f aca="false">IF(H342="","",H342+Summary!$B$4)</f>
        <v/>
      </c>
      <c r="K342" s="17"/>
      <c r="L342" s="16"/>
      <c r="M342" s="13" t="str">
        <f aca="false">IF(I342="","",I342-N(K342))</f>
        <v/>
      </c>
      <c r="N342" s="14" t="str">
        <f aca="true">IF(A342="","",IF(I342="",IF(E342&lt;&gt;"","To invoice","In progress"),IF(M342&lt;=0,"Paid",IF(TODAY()&gt;J342,"Overdue","Awaiting payment"))))</f>
        <v/>
      </c>
    </row>
    <row r="343" customFormat="false" ht="15" hidden="false" customHeight="false" outlineLevel="0" collapsed="false">
      <c r="A343" s="15"/>
      <c r="B343" s="15"/>
      <c r="C343" s="15"/>
      <c r="D343" s="16"/>
      <c r="E343" s="16"/>
      <c r="F343" s="17"/>
      <c r="G343" s="15"/>
      <c r="H343" s="16"/>
      <c r="I343" s="17"/>
      <c r="J343" s="12" t="str">
        <f aca="false">IF(H343="","",H343+Summary!$B$4)</f>
        <v/>
      </c>
      <c r="K343" s="17"/>
      <c r="L343" s="16"/>
      <c r="M343" s="13" t="str">
        <f aca="false">IF(I343="","",I343-N(K343))</f>
        <v/>
      </c>
      <c r="N343" s="14" t="str">
        <f aca="true">IF(A343="","",IF(I343="",IF(E343&lt;&gt;"","To invoice","In progress"),IF(M343&lt;=0,"Paid",IF(TODAY()&gt;J343,"Overdue","Awaiting payment"))))</f>
        <v/>
      </c>
    </row>
    <row r="344" customFormat="false" ht="15" hidden="false" customHeight="false" outlineLevel="0" collapsed="false">
      <c r="A344" s="15"/>
      <c r="B344" s="15"/>
      <c r="C344" s="15"/>
      <c r="D344" s="16"/>
      <c r="E344" s="16"/>
      <c r="F344" s="17"/>
      <c r="G344" s="15"/>
      <c r="H344" s="16"/>
      <c r="I344" s="17"/>
      <c r="J344" s="12" t="str">
        <f aca="false">IF(H344="","",H344+Summary!$B$4)</f>
        <v/>
      </c>
      <c r="K344" s="17"/>
      <c r="L344" s="16"/>
      <c r="M344" s="13" t="str">
        <f aca="false">IF(I344="","",I344-N(K344))</f>
        <v/>
      </c>
      <c r="N344" s="14" t="str">
        <f aca="true">IF(A344="","",IF(I344="",IF(E344&lt;&gt;"","To invoice","In progress"),IF(M344&lt;=0,"Paid",IF(TODAY()&gt;J344,"Overdue","Awaiting payment"))))</f>
        <v/>
      </c>
    </row>
    <row r="345" customFormat="false" ht="15" hidden="false" customHeight="false" outlineLevel="0" collapsed="false">
      <c r="A345" s="15"/>
      <c r="B345" s="15"/>
      <c r="C345" s="15"/>
      <c r="D345" s="16"/>
      <c r="E345" s="16"/>
      <c r="F345" s="17"/>
      <c r="G345" s="15"/>
      <c r="H345" s="16"/>
      <c r="I345" s="17"/>
      <c r="J345" s="12" t="str">
        <f aca="false">IF(H345="","",H345+Summary!$B$4)</f>
        <v/>
      </c>
      <c r="K345" s="17"/>
      <c r="L345" s="16"/>
      <c r="M345" s="13" t="str">
        <f aca="false">IF(I345="","",I345-N(K345))</f>
        <v/>
      </c>
      <c r="N345" s="14" t="str">
        <f aca="true">IF(A345="","",IF(I345="",IF(E345&lt;&gt;"","To invoice","In progress"),IF(M345&lt;=0,"Paid",IF(TODAY()&gt;J345,"Overdue","Awaiting payment"))))</f>
        <v/>
      </c>
    </row>
    <row r="346" customFormat="false" ht="15" hidden="false" customHeight="false" outlineLevel="0" collapsed="false">
      <c r="A346" s="15"/>
      <c r="B346" s="15"/>
      <c r="C346" s="15"/>
      <c r="D346" s="16"/>
      <c r="E346" s="16"/>
      <c r="F346" s="17"/>
      <c r="G346" s="15"/>
      <c r="H346" s="16"/>
      <c r="I346" s="17"/>
      <c r="J346" s="12" t="str">
        <f aca="false">IF(H346="","",H346+Summary!$B$4)</f>
        <v/>
      </c>
      <c r="K346" s="17"/>
      <c r="L346" s="16"/>
      <c r="M346" s="13" t="str">
        <f aca="false">IF(I346="","",I346-N(K346))</f>
        <v/>
      </c>
      <c r="N346" s="14" t="str">
        <f aca="true">IF(A346="","",IF(I346="",IF(E346&lt;&gt;"","To invoice","In progress"),IF(M346&lt;=0,"Paid",IF(TODAY()&gt;J346,"Overdue","Awaiting payment"))))</f>
        <v/>
      </c>
    </row>
    <row r="347" customFormat="false" ht="15" hidden="false" customHeight="false" outlineLevel="0" collapsed="false">
      <c r="A347" s="15"/>
      <c r="B347" s="15"/>
      <c r="C347" s="15"/>
      <c r="D347" s="16"/>
      <c r="E347" s="16"/>
      <c r="F347" s="17"/>
      <c r="G347" s="15"/>
      <c r="H347" s="16"/>
      <c r="I347" s="17"/>
      <c r="J347" s="12" t="str">
        <f aca="false">IF(H347="","",H347+Summary!$B$4)</f>
        <v/>
      </c>
      <c r="K347" s="17"/>
      <c r="L347" s="16"/>
      <c r="M347" s="13" t="str">
        <f aca="false">IF(I347="","",I347-N(K347))</f>
        <v/>
      </c>
      <c r="N347" s="14" t="str">
        <f aca="true">IF(A347="","",IF(I347="",IF(E347&lt;&gt;"","To invoice","In progress"),IF(M347&lt;=0,"Paid",IF(TODAY()&gt;J347,"Overdue","Awaiting payment"))))</f>
        <v/>
      </c>
    </row>
    <row r="348" customFormat="false" ht="15" hidden="false" customHeight="false" outlineLevel="0" collapsed="false">
      <c r="A348" s="15"/>
      <c r="B348" s="15"/>
      <c r="C348" s="15"/>
      <c r="D348" s="16"/>
      <c r="E348" s="16"/>
      <c r="F348" s="17"/>
      <c r="G348" s="15"/>
      <c r="H348" s="16"/>
      <c r="I348" s="17"/>
      <c r="J348" s="12" t="str">
        <f aca="false">IF(H348="","",H348+Summary!$B$4)</f>
        <v/>
      </c>
      <c r="K348" s="17"/>
      <c r="L348" s="16"/>
      <c r="M348" s="13" t="str">
        <f aca="false">IF(I348="","",I348-N(K348))</f>
        <v/>
      </c>
      <c r="N348" s="14" t="str">
        <f aca="true">IF(A348="","",IF(I348="",IF(E348&lt;&gt;"","To invoice","In progress"),IF(M348&lt;=0,"Paid",IF(TODAY()&gt;J348,"Overdue","Awaiting payment"))))</f>
        <v/>
      </c>
    </row>
    <row r="349" customFormat="false" ht="15" hidden="false" customHeight="false" outlineLevel="0" collapsed="false">
      <c r="A349" s="15"/>
      <c r="B349" s="15"/>
      <c r="C349" s="15"/>
      <c r="D349" s="16"/>
      <c r="E349" s="16"/>
      <c r="F349" s="17"/>
      <c r="G349" s="15"/>
      <c r="H349" s="16"/>
      <c r="I349" s="17"/>
      <c r="J349" s="12" t="str">
        <f aca="false">IF(H349="","",H349+Summary!$B$4)</f>
        <v/>
      </c>
      <c r="K349" s="17"/>
      <c r="L349" s="16"/>
      <c r="M349" s="13" t="str">
        <f aca="false">IF(I349="","",I349-N(K349))</f>
        <v/>
      </c>
      <c r="N349" s="14" t="str">
        <f aca="true">IF(A349="","",IF(I349="",IF(E349&lt;&gt;"","To invoice","In progress"),IF(M349&lt;=0,"Paid",IF(TODAY()&gt;J349,"Overdue","Awaiting payment"))))</f>
        <v/>
      </c>
    </row>
    <row r="350" customFormat="false" ht="15" hidden="false" customHeight="false" outlineLevel="0" collapsed="false">
      <c r="A350" s="15"/>
      <c r="B350" s="15"/>
      <c r="C350" s="15"/>
      <c r="D350" s="16"/>
      <c r="E350" s="16"/>
      <c r="F350" s="17"/>
      <c r="G350" s="15"/>
      <c r="H350" s="16"/>
      <c r="I350" s="17"/>
      <c r="J350" s="12" t="str">
        <f aca="false">IF(H350="","",H350+Summary!$B$4)</f>
        <v/>
      </c>
      <c r="K350" s="17"/>
      <c r="L350" s="16"/>
      <c r="M350" s="13" t="str">
        <f aca="false">IF(I350="","",I350-N(K350))</f>
        <v/>
      </c>
      <c r="N350" s="14" t="str">
        <f aca="true">IF(A350="","",IF(I350="",IF(E350&lt;&gt;"","To invoice","In progress"),IF(M350&lt;=0,"Paid",IF(TODAY()&gt;J350,"Overdue","Awaiting payment"))))</f>
        <v/>
      </c>
    </row>
    <row r="351" customFormat="false" ht="15" hidden="false" customHeight="false" outlineLevel="0" collapsed="false">
      <c r="A351" s="15"/>
      <c r="B351" s="15"/>
      <c r="C351" s="15"/>
      <c r="D351" s="16"/>
      <c r="E351" s="16"/>
      <c r="F351" s="17"/>
      <c r="G351" s="15"/>
      <c r="H351" s="16"/>
      <c r="I351" s="17"/>
      <c r="J351" s="12" t="str">
        <f aca="false">IF(H351="","",H351+Summary!$B$4)</f>
        <v/>
      </c>
      <c r="K351" s="17"/>
      <c r="L351" s="16"/>
      <c r="M351" s="13" t="str">
        <f aca="false">IF(I351="","",I351-N(K351))</f>
        <v/>
      </c>
      <c r="N351" s="14" t="str">
        <f aca="true">IF(A351="","",IF(I351="",IF(E351&lt;&gt;"","To invoice","In progress"),IF(M351&lt;=0,"Paid",IF(TODAY()&gt;J351,"Overdue","Awaiting payment"))))</f>
        <v/>
      </c>
    </row>
    <row r="352" customFormat="false" ht="15" hidden="false" customHeight="false" outlineLevel="0" collapsed="false">
      <c r="A352" s="15"/>
      <c r="B352" s="15"/>
      <c r="C352" s="15"/>
      <c r="D352" s="16"/>
      <c r="E352" s="16"/>
      <c r="F352" s="17"/>
      <c r="G352" s="15"/>
      <c r="H352" s="16"/>
      <c r="I352" s="17"/>
      <c r="J352" s="12" t="str">
        <f aca="false">IF(H352="","",H352+Summary!$B$4)</f>
        <v/>
      </c>
      <c r="K352" s="17"/>
      <c r="L352" s="16"/>
      <c r="M352" s="13" t="str">
        <f aca="false">IF(I352="","",I352-N(K352))</f>
        <v/>
      </c>
      <c r="N352" s="14" t="str">
        <f aca="true">IF(A352="","",IF(I352="",IF(E352&lt;&gt;"","To invoice","In progress"),IF(M352&lt;=0,"Paid",IF(TODAY()&gt;J352,"Overdue","Awaiting payment"))))</f>
        <v/>
      </c>
    </row>
    <row r="353" customFormat="false" ht="15" hidden="false" customHeight="false" outlineLevel="0" collapsed="false">
      <c r="A353" s="15"/>
      <c r="B353" s="15"/>
      <c r="C353" s="15"/>
      <c r="D353" s="16"/>
      <c r="E353" s="16"/>
      <c r="F353" s="17"/>
      <c r="G353" s="15"/>
      <c r="H353" s="16"/>
      <c r="I353" s="17"/>
      <c r="J353" s="12" t="str">
        <f aca="false">IF(H353="","",H353+Summary!$B$4)</f>
        <v/>
      </c>
      <c r="K353" s="17"/>
      <c r="L353" s="16"/>
      <c r="M353" s="13" t="str">
        <f aca="false">IF(I353="","",I353-N(K353))</f>
        <v/>
      </c>
      <c r="N353" s="14" t="str">
        <f aca="true">IF(A353="","",IF(I353="",IF(E353&lt;&gt;"","To invoice","In progress"),IF(M353&lt;=0,"Paid",IF(TODAY()&gt;J353,"Overdue","Awaiting payment"))))</f>
        <v/>
      </c>
    </row>
    <row r="354" customFormat="false" ht="15" hidden="false" customHeight="false" outlineLevel="0" collapsed="false">
      <c r="A354" s="15"/>
      <c r="B354" s="15"/>
      <c r="C354" s="15"/>
      <c r="D354" s="16"/>
      <c r="E354" s="16"/>
      <c r="F354" s="17"/>
      <c r="G354" s="15"/>
      <c r="H354" s="16"/>
      <c r="I354" s="17"/>
      <c r="J354" s="12" t="str">
        <f aca="false">IF(H354="","",H354+Summary!$B$4)</f>
        <v/>
      </c>
      <c r="K354" s="17"/>
      <c r="L354" s="16"/>
      <c r="M354" s="13" t="str">
        <f aca="false">IF(I354="","",I354-N(K354))</f>
        <v/>
      </c>
      <c r="N354" s="14" t="str">
        <f aca="true">IF(A354="","",IF(I354="",IF(E354&lt;&gt;"","To invoice","In progress"),IF(M354&lt;=0,"Paid",IF(TODAY()&gt;J354,"Overdue","Awaiting payment"))))</f>
        <v/>
      </c>
    </row>
    <row r="355" customFormat="false" ht="15" hidden="false" customHeight="false" outlineLevel="0" collapsed="false">
      <c r="A355" s="15"/>
      <c r="B355" s="15"/>
      <c r="C355" s="15"/>
      <c r="D355" s="16"/>
      <c r="E355" s="16"/>
      <c r="F355" s="17"/>
      <c r="G355" s="15"/>
      <c r="H355" s="16"/>
      <c r="I355" s="17"/>
      <c r="J355" s="12" t="str">
        <f aca="false">IF(H355="","",H355+Summary!$B$4)</f>
        <v/>
      </c>
      <c r="K355" s="17"/>
      <c r="L355" s="16"/>
      <c r="M355" s="13" t="str">
        <f aca="false">IF(I355="","",I355-N(K355))</f>
        <v/>
      </c>
      <c r="N355" s="14" t="str">
        <f aca="true">IF(A355="","",IF(I355="",IF(E355&lt;&gt;"","To invoice","In progress"),IF(M355&lt;=0,"Paid",IF(TODAY()&gt;J355,"Overdue","Awaiting payment"))))</f>
        <v/>
      </c>
    </row>
    <row r="356" customFormat="false" ht="15" hidden="false" customHeight="false" outlineLevel="0" collapsed="false">
      <c r="A356" s="15"/>
      <c r="B356" s="15"/>
      <c r="C356" s="15"/>
      <c r="D356" s="16"/>
      <c r="E356" s="16"/>
      <c r="F356" s="17"/>
      <c r="G356" s="15"/>
      <c r="H356" s="16"/>
      <c r="I356" s="17"/>
      <c r="J356" s="12" t="str">
        <f aca="false">IF(H356="","",H356+Summary!$B$4)</f>
        <v/>
      </c>
      <c r="K356" s="17"/>
      <c r="L356" s="16"/>
      <c r="M356" s="13" t="str">
        <f aca="false">IF(I356="","",I356-N(K356))</f>
        <v/>
      </c>
      <c r="N356" s="14" t="str">
        <f aca="true">IF(A356="","",IF(I356="",IF(E356&lt;&gt;"","To invoice","In progress"),IF(M356&lt;=0,"Paid",IF(TODAY()&gt;J356,"Overdue","Awaiting payment"))))</f>
        <v/>
      </c>
    </row>
    <row r="357" customFormat="false" ht="15" hidden="false" customHeight="false" outlineLevel="0" collapsed="false">
      <c r="A357" s="15"/>
      <c r="B357" s="15"/>
      <c r="C357" s="15"/>
      <c r="D357" s="16"/>
      <c r="E357" s="16"/>
      <c r="F357" s="17"/>
      <c r="G357" s="15"/>
      <c r="H357" s="16"/>
      <c r="I357" s="17"/>
      <c r="J357" s="12" t="str">
        <f aca="false">IF(H357="","",H357+Summary!$B$4)</f>
        <v/>
      </c>
      <c r="K357" s="17"/>
      <c r="L357" s="16"/>
      <c r="M357" s="13" t="str">
        <f aca="false">IF(I357="","",I357-N(K357))</f>
        <v/>
      </c>
      <c r="N357" s="14" t="str">
        <f aca="true">IF(A357="","",IF(I357="",IF(E357&lt;&gt;"","To invoice","In progress"),IF(M357&lt;=0,"Paid",IF(TODAY()&gt;J357,"Overdue","Awaiting payment"))))</f>
        <v/>
      </c>
    </row>
    <row r="358" customFormat="false" ht="15" hidden="false" customHeight="false" outlineLevel="0" collapsed="false">
      <c r="A358" s="15"/>
      <c r="B358" s="15"/>
      <c r="C358" s="15"/>
      <c r="D358" s="16"/>
      <c r="E358" s="16"/>
      <c r="F358" s="17"/>
      <c r="G358" s="15"/>
      <c r="H358" s="16"/>
      <c r="I358" s="17"/>
      <c r="J358" s="12" t="str">
        <f aca="false">IF(H358="","",H358+Summary!$B$4)</f>
        <v/>
      </c>
      <c r="K358" s="17"/>
      <c r="L358" s="16"/>
      <c r="M358" s="13" t="str">
        <f aca="false">IF(I358="","",I358-N(K358))</f>
        <v/>
      </c>
      <c r="N358" s="14" t="str">
        <f aca="true">IF(A358="","",IF(I358="",IF(E358&lt;&gt;"","To invoice","In progress"),IF(M358&lt;=0,"Paid",IF(TODAY()&gt;J358,"Overdue","Awaiting payment"))))</f>
        <v/>
      </c>
    </row>
    <row r="359" customFormat="false" ht="15" hidden="false" customHeight="false" outlineLevel="0" collapsed="false">
      <c r="A359" s="15"/>
      <c r="B359" s="15"/>
      <c r="C359" s="15"/>
      <c r="D359" s="16"/>
      <c r="E359" s="16"/>
      <c r="F359" s="17"/>
      <c r="G359" s="15"/>
      <c r="H359" s="16"/>
      <c r="I359" s="17"/>
      <c r="J359" s="12" t="str">
        <f aca="false">IF(H359="","",H359+Summary!$B$4)</f>
        <v/>
      </c>
      <c r="K359" s="17"/>
      <c r="L359" s="16"/>
      <c r="M359" s="13" t="str">
        <f aca="false">IF(I359="","",I359-N(K359))</f>
        <v/>
      </c>
      <c r="N359" s="14" t="str">
        <f aca="true">IF(A359="","",IF(I359="",IF(E359&lt;&gt;"","To invoice","In progress"),IF(M359&lt;=0,"Paid",IF(TODAY()&gt;J359,"Overdue","Awaiting payment"))))</f>
        <v/>
      </c>
    </row>
    <row r="360" customFormat="false" ht="15" hidden="false" customHeight="false" outlineLevel="0" collapsed="false">
      <c r="A360" s="15"/>
      <c r="B360" s="15"/>
      <c r="C360" s="15"/>
      <c r="D360" s="16"/>
      <c r="E360" s="16"/>
      <c r="F360" s="17"/>
      <c r="G360" s="15"/>
      <c r="H360" s="16"/>
      <c r="I360" s="17"/>
      <c r="J360" s="12" t="str">
        <f aca="false">IF(H360="","",H360+Summary!$B$4)</f>
        <v/>
      </c>
      <c r="K360" s="17"/>
      <c r="L360" s="16"/>
      <c r="M360" s="13" t="str">
        <f aca="false">IF(I360="","",I360-N(K360))</f>
        <v/>
      </c>
      <c r="N360" s="14" t="str">
        <f aca="true">IF(A360="","",IF(I360="",IF(E360&lt;&gt;"","To invoice","In progress"),IF(M360&lt;=0,"Paid",IF(TODAY()&gt;J360,"Overdue","Awaiting payment"))))</f>
        <v/>
      </c>
    </row>
    <row r="361" customFormat="false" ht="15" hidden="false" customHeight="false" outlineLevel="0" collapsed="false">
      <c r="A361" s="15"/>
      <c r="B361" s="15"/>
      <c r="C361" s="15"/>
      <c r="D361" s="16"/>
      <c r="E361" s="16"/>
      <c r="F361" s="17"/>
      <c r="G361" s="15"/>
      <c r="H361" s="16"/>
      <c r="I361" s="17"/>
      <c r="J361" s="12" t="str">
        <f aca="false">IF(H361="","",H361+Summary!$B$4)</f>
        <v/>
      </c>
      <c r="K361" s="17"/>
      <c r="L361" s="16"/>
      <c r="M361" s="13" t="str">
        <f aca="false">IF(I361="","",I361-N(K361))</f>
        <v/>
      </c>
      <c r="N361" s="14" t="str">
        <f aca="true">IF(A361="","",IF(I361="",IF(E361&lt;&gt;"","To invoice","In progress"),IF(M361&lt;=0,"Paid",IF(TODAY()&gt;J361,"Overdue","Awaiting payment"))))</f>
        <v/>
      </c>
    </row>
    <row r="362" customFormat="false" ht="15" hidden="false" customHeight="false" outlineLevel="0" collapsed="false">
      <c r="A362" s="15"/>
      <c r="B362" s="15"/>
      <c r="C362" s="15"/>
      <c r="D362" s="16"/>
      <c r="E362" s="16"/>
      <c r="F362" s="17"/>
      <c r="G362" s="15"/>
      <c r="H362" s="16"/>
      <c r="I362" s="17"/>
      <c r="J362" s="12" t="str">
        <f aca="false">IF(H362="","",H362+Summary!$B$4)</f>
        <v/>
      </c>
      <c r="K362" s="17"/>
      <c r="L362" s="16"/>
      <c r="M362" s="13" t="str">
        <f aca="false">IF(I362="","",I362-N(K362))</f>
        <v/>
      </c>
      <c r="N362" s="14" t="str">
        <f aca="true">IF(A362="","",IF(I362="",IF(E362&lt;&gt;"","To invoice","In progress"),IF(M362&lt;=0,"Paid",IF(TODAY()&gt;J362,"Overdue","Awaiting payment"))))</f>
        <v/>
      </c>
    </row>
    <row r="363" customFormat="false" ht="15" hidden="false" customHeight="false" outlineLevel="0" collapsed="false">
      <c r="A363" s="15"/>
      <c r="B363" s="15"/>
      <c r="C363" s="15"/>
      <c r="D363" s="16"/>
      <c r="E363" s="16"/>
      <c r="F363" s="17"/>
      <c r="G363" s="15"/>
      <c r="H363" s="16"/>
      <c r="I363" s="17"/>
      <c r="J363" s="12" t="str">
        <f aca="false">IF(H363="","",H363+Summary!$B$4)</f>
        <v/>
      </c>
      <c r="K363" s="17"/>
      <c r="L363" s="16"/>
      <c r="M363" s="13" t="str">
        <f aca="false">IF(I363="","",I363-N(K363))</f>
        <v/>
      </c>
      <c r="N363" s="14" t="str">
        <f aca="true">IF(A363="","",IF(I363="",IF(E363&lt;&gt;"","To invoice","In progress"),IF(M363&lt;=0,"Paid",IF(TODAY()&gt;J363,"Overdue","Awaiting payment"))))</f>
        <v/>
      </c>
    </row>
    <row r="364" customFormat="false" ht="15" hidden="false" customHeight="false" outlineLevel="0" collapsed="false">
      <c r="A364" s="15"/>
      <c r="B364" s="15"/>
      <c r="C364" s="15"/>
      <c r="D364" s="16"/>
      <c r="E364" s="16"/>
      <c r="F364" s="17"/>
      <c r="G364" s="15"/>
      <c r="H364" s="16"/>
      <c r="I364" s="17"/>
      <c r="J364" s="12" t="str">
        <f aca="false">IF(H364="","",H364+Summary!$B$4)</f>
        <v/>
      </c>
      <c r="K364" s="17"/>
      <c r="L364" s="16"/>
      <c r="M364" s="13" t="str">
        <f aca="false">IF(I364="","",I364-N(K364))</f>
        <v/>
      </c>
      <c r="N364" s="14" t="str">
        <f aca="true">IF(A364="","",IF(I364="",IF(E364&lt;&gt;"","To invoice","In progress"),IF(M364&lt;=0,"Paid",IF(TODAY()&gt;J364,"Overdue","Awaiting payment"))))</f>
        <v/>
      </c>
    </row>
    <row r="365" customFormat="false" ht="15" hidden="false" customHeight="false" outlineLevel="0" collapsed="false">
      <c r="A365" s="15"/>
      <c r="B365" s="15"/>
      <c r="C365" s="15"/>
      <c r="D365" s="16"/>
      <c r="E365" s="16"/>
      <c r="F365" s="17"/>
      <c r="G365" s="15"/>
      <c r="H365" s="16"/>
      <c r="I365" s="17"/>
      <c r="J365" s="12" t="str">
        <f aca="false">IF(H365="","",H365+Summary!$B$4)</f>
        <v/>
      </c>
      <c r="K365" s="17"/>
      <c r="L365" s="16"/>
      <c r="M365" s="13" t="str">
        <f aca="false">IF(I365="","",I365-N(K365))</f>
        <v/>
      </c>
      <c r="N365" s="14" t="str">
        <f aca="true">IF(A365="","",IF(I365="",IF(E365&lt;&gt;"","To invoice","In progress"),IF(M365&lt;=0,"Paid",IF(TODAY()&gt;J365,"Overdue","Awaiting payment"))))</f>
        <v/>
      </c>
    </row>
    <row r="366" customFormat="false" ht="15" hidden="false" customHeight="false" outlineLevel="0" collapsed="false">
      <c r="A366" s="15"/>
      <c r="B366" s="15"/>
      <c r="C366" s="15"/>
      <c r="D366" s="16"/>
      <c r="E366" s="16"/>
      <c r="F366" s="17"/>
      <c r="G366" s="15"/>
      <c r="H366" s="16"/>
      <c r="I366" s="17"/>
      <c r="J366" s="12" t="str">
        <f aca="false">IF(H366="","",H366+Summary!$B$4)</f>
        <v/>
      </c>
      <c r="K366" s="17"/>
      <c r="L366" s="16"/>
      <c r="M366" s="13" t="str">
        <f aca="false">IF(I366="","",I366-N(K366))</f>
        <v/>
      </c>
      <c r="N366" s="14" t="str">
        <f aca="true">IF(A366="","",IF(I366="",IF(E366&lt;&gt;"","To invoice","In progress"),IF(M366&lt;=0,"Paid",IF(TODAY()&gt;J366,"Overdue","Awaiting payment"))))</f>
        <v/>
      </c>
    </row>
    <row r="367" customFormat="false" ht="15" hidden="false" customHeight="false" outlineLevel="0" collapsed="false">
      <c r="A367" s="15"/>
      <c r="B367" s="15"/>
      <c r="C367" s="15"/>
      <c r="D367" s="16"/>
      <c r="E367" s="16"/>
      <c r="F367" s="17"/>
      <c r="G367" s="15"/>
      <c r="H367" s="16"/>
      <c r="I367" s="17"/>
      <c r="J367" s="12" t="str">
        <f aca="false">IF(H367="","",H367+Summary!$B$4)</f>
        <v/>
      </c>
      <c r="K367" s="17"/>
      <c r="L367" s="16"/>
      <c r="M367" s="13" t="str">
        <f aca="false">IF(I367="","",I367-N(K367))</f>
        <v/>
      </c>
      <c r="N367" s="14" t="str">
        <f aca="true">IF(A367="","",IF(I367="",IF(E367&lt;&gt;"","To invoice","In progress"),IF(M367&lt;=0,"Paid",IF(TODAY()&gt;J367,"Overdue","Awaiting payment"))))</f>
        <v/>
      </c>
    </row>
    <row r="368" customFormat="false" ht="15" hidden="false" customHeight="false" outlineLevel="0" collapsed="false">
      <c r="A368" s="15"/>
      <c r="B368" s="15"/>
      <c r="C368" s="15"/>
      <c r="D368" s="16"/>
      <c r="E368" s="16"/>
      <c r="F368" s="17"/>
      <c r="G368" s="15"/>
      <c r="H368" s="16"/>
      <c r="I368" s="17"/>
      <c r="J368" s="12" t="str">
        <f aca="false">IF(H368="","",H368+Summary!$B$4)</f>
        <v/>
      </c>
      <c r="K368" s="17"/>
      <c r="L368" s="16"/>
      <c r="M368" s="13" t="str">
        <f aca="false">IF(I368="","",I368-N(K368))</f>
        <v/>
      </c>
      <c r="N368" s="14" t="str">
        <f aca="true">IF(A368="","",IF(I368="",IF(E368&lt;&gt;"","To invoice","In progress"),IF(M368&lt;=0,"Paid",IF(TODAY()&gt;J368,"Overdue","Awaiting payment"))))</f>
        <v/>
      </c>
    </row>
    <row r="369" customFormat="false" ht="15" hidden="false" customHeight="false" outlineLevel="0" collapsed="false">
      <c r="A369" s="15"/>
      <c r="B369" s="15"/>
      <c r="C369" s="15"/>
      <c r="D369" s="16"/>
      <c r="E369" s="16"/>
      <c r="F369" s="17"/>
      <c r="G369" s="15"/>
      <c r="H369" s="16"/>
      <c r="I369" s="17"/>
      <c r="J369" s="12" t="str">
        <f aca="false">IF(H369="","",H369+Summary!$B$4)</f>
        <v/>
      </c>
      <c r="K369" s="17"/>
      <c r="L369" s="16"/>
      <c r="M369" s="13" t="str">
        <f aca="false">IF(I369="","",I369-N(K369))</f>
        <v/>
      </c>
      <c r="N369" s="14" t="str">
        <f aca="true">IF(A369="","",IF(I369="",IF(E369&lt;&gt;"","To invoice","In progress"),IF(M369&lt;=0,"Paid",IF(TODAY()&gt;J369,"Overdue","Awaiting payment"))))</f>
        <v/>
      </c>
    </row>
    <row r="370" customFormat="false" ht="15" hidden="false" customHeight="false" outlineLevel="0" collapsed="false">
      <c r="A370" s="15"/>
      <c r="B370" s="15"/>
      <c r="C370" s="15"/>
      <c r="D370" s="16"/>
      <c r="E370" s="16"/>
      <c r="F370" s="17"/>
      <c r="G370" s="15"/>
      <c r="H370" s="16"/>
      <c r="I370" s="17"/>
      <c r="J370" s="12" t="str">
        <f aca="false">IF(H370="","",H370+Summary!$B$4)</f>
        <v/>
      </c>
      <c r="K370" s="17"/>
      <c r="L370" s="16"/>
      <c r="M370" s="13" t="str">
        <f aca="false">IF(I370="","",I370-N(K370))</f>
        <v/>
      </c>
      <c r="N370" s="14" t="str">
        <f aca="true">IF(A370="","",IF(I370="",IF(E370&lt;&gt;"","To invoice","In progress"),IF(M370&lt;=0,"Paid",IF(TODAY()&gt;J370,"Overdue","Awaiting payment"))))</f>
        <v/>
      </c>
    </row>
    <row r="371" customFormat="false" ht="15" hidden="false" customHeight="false" outlineLevel="0" collapsed="false">
      <c r="A371" s="15"/>
      <c r="B371" s="15"/>
      <c r="C371" s="15"/>
      <c r="D371" s="16"/>
      <c r="E371" s="16"/>
      <c r="F371" s="17"/>
      <c r="G371" s="15"/>
      <c r="H371" s="16"/>
      <c r="I371" s="17"/>
      <c r="J371" s="12" t="str">
        <f aca="false">IF(H371="","",H371+Summary!$B$4)</f>
        <v/>
      </c>
      <c r="K371" s="17"/>
      <c r="L371" s="16"/>
      <c r="M371" s="13" t="str">
        <f aca="false">IF(I371="","",I371-N(K371))</f>
        <v/>
      </c>
      <c r="N371" s="14" t="str">
        <f aca="true">IF(A371="","",IF(I371="",IF(E371&lt;&gt;"","To invoice","In progress"),IF(M371&lt;=0,"Paid",IF(TODAY()&gt;J371,"Overdue","Awaiting payment"))))</f>
        <v/>
      </c>
    </row>
    <row r="372" customFormat="false" ht="15" hidden="false" customHeight="false" outlineLevel="0" collapsed="false">
      <c r="A372" s="15"/>
      <c r="B372" s="15"/>
      <c r="C372" s="15"/>
      <c r="D372" s="16"/>
      <c r="E372" s="16"/>
      <c r="F372" s="17"/>
      <c r="G372" s="15"/>
      <c r="H372" s="16"/>
      <c r="I372" s="17"/>
      <c r="J372" s="12" t="str">
        <f aca="false">IF(H372="","",H372+Summary!$B$4)</f>
        <v/>
      </c>
      <c r="K372" s="17"/>
      <c r="L372" s="16"/>
      <c r="M372" s="13" t="str">
        <f aca="false">IF(I372="","",I372-N(K372))</f>
        <v/>
      </c>
      <c r="N372" s="14" t="str">
        <f aca="true">IF(A372="","",IF(I372="",IF(E372&lt;&gt;"","To invoice","In progress"),IF(M372&lt;=0,"Paid",IF(TODAY()&gt;J372,"Overdue","Awaiting payment"))))</f>
        <v/>
      </c>
    </row>
    <row r="373" customFormat="false" ht="15" hidden="false" customHeight="false" outlineLevel="0" collapsed="false">
      <c r="A373" s="15"/>
      <c r="B373" s="15"/>
      <c r="C373" s="15"/>
      <c r="D373" s="16"/>
      <c r="E373" s="16"/>
      <c r="F373" s="17"/>
      <c r="G373" s="15"/>
      <c r="H373" s="16"/>
      <c r="I373" s="17"/>
      <c r="J373" s="12" t="str">
        <f aca="false">IF(H373="","",H373+Summary!$B$4)</f>
        <v/>
      </c>
      <c r="K373" s="17"/>
      <c r="L373" s="16"/>
      <c r="M373" s="13" t="str">
        <f aca="false">IF(I373="","",I373-N(K373))</f>
        <v/>
      </c>
      <c r="N373" s="14" t="str">
        <f aca="true">IF(A373="","",IF(I373="",IF(E373&lt;&gt;"","To invoice","In progress"),IF(M373&lt;=0,"Paid",IF(TODAY()&gt;J373,"Overdue","Awaiting payment"))))</f>
        <v/>
      </c>
    </row>
    <row r="374" customFormat="false" ht="15" hidden="false" customHeight="false" outlineLevel="0" collapsed="false">
      <c r="A374" s="15"/>
      <c r="B374" s="15"/>
      <c r="C374" s="15"/>
      <c r="D374" s="16"/>
      <c r="E374" s="16"/>
      <c r="F374" s="17"/>
      <c r="G374" s="15"/>
      <c r="H374" s="16"/>
      <c r="I374" s="17"/>
      <c r="J374" s="12" t="str">
        <f aca="false">IF(H374="","",H374+Summary!$B$4)</f>
        <v/>
      </c>
      <c r="K374" s="17"/>
      <c r="L374" s="16"/>
      <c r="M374" s="13" t="str">
        <f aca="false">IF(I374="","",I374-N(K374))</f>
        <v/>
      </c>
      <c r="N374" s="14" t="str">
        <f aca="true">IF(A374="","",IF(I374="",IF(E374&lt;&gt;"","To invoice","In progress"),IF(M374&lt;=0,"Paid",IF(TODAY()&gt;J374,"Overdue","Awaiting payment"))))</f>
        <v/>
      </c>
    </row>
    <row r="375" customFormat="false" ht="15" hidden="false" customHeight="false" outlineLevel="0" collapsed="false">
      <c r="A375" s="15"/>
      <c r="B375" s="15"/>
      <c r="C375" s="15"/>
      <c r="D375" s="16"/>
      <c r="E375" s="16"/>
      <c r="F375" s="17"/>
      <c r="G375" s="15"/>
      <c r="H375" s="16"/>
      <c r="I375" s="17"/>
      <c r="J375" s="12" t="str">
        <f aca="false">IF(H375="","",H375+Summary!$B$4)</f>
        <v/>
      </c>
      <c r="K375" s="17"/>
      <c r="L375" s="16"/>
      <c r="M375" s="13" t="str">
        <f aca="false">IF(I375="","",I375-N(K375))</f>
        <v/>
      </c>
      <c r="N375" s="14" t="str">
        <f aca="true">IF(A375="","",IF(I375="",IF(E375&lt;&gt;"","To invoice","In progress"),IF(M375&lt;=0,"Paid",IF(TODAY()&gt;J375,"Overdue","Awaiting payment"))))</f>
        <v/>
      </c>
    </row>
    <row r="376" customFormat="false" ht="15" hidden="false" customHeight="false" outlineLevel="0" collapsed="false">
      <c r="A376" s="15"/>
      <c r="B376" s="15"/>
      <c r="C376" s="15"/>
      <c r="D376" s="16"/>
      <c r="E376" s="16"/>
      <c r="F376" s="17"/>
      <c r="G376" s="15"/>
      <c r="H376" s="16"/>
      <c r="I376" s="17"/>
      <c r="J376" s="12" t="str">
        <f aca="false">IF(H376="","",H376+Summary!$B$4)</f>
        <v/>
      </c>
      <c r="K376" s="17"/>
      <c r="L376" s="16"/>
      <c r="M376" s="13" t="str">
        <f aca="false">IF(I376="","",I376-N(K376))</f>
        <v/>
      </c>
      <c r="N376" s="14" t="str">
        <f aca="true">IF(A376="","",IF(I376="",IF(E376&lt;&gt;"","To invoice","In progress"),IF(M376&lt;=0,"Paid",IF(TODAY()&gt;J376,"Overdue","Awaiting payment"))))</f>
        <v/>
      </c>
    </row>
    <row r="377" customFormat="false" ht="15" hidden="false" customHeight="false" outlineLevel="0" collapsed="false">
      <c r="A377" s="15"/>
      <c r="B377" s="15"/>
      <c r="C377" s="15"/>
      <c r="D377" s="16"/>
      <c r="E377" s="16"/>
      <c r="F377" s="17"/>
      <c r="G377" s="15"/>
      <c r="H377" s="16"/>
      <c r="I377" s="17"/>
      <c r="J377" s="12" t="str">
        <f aca="false">IF(H377="","",H377+Summary!$B$4)</f>
        <v/>
      </c>
      <c r="K377" s="17"/>
      <c r="L377" s="16"/>
      <c r="M377" s="13" t="str">
        <f aca="false">IF(I377="","",I377-N(K377))</f>
        <v/>
      </c>
      <c r="N377" s="14" t="str">
        <f aca="true">IF(A377="","",IF(I377="",IF(E377&lt;&gt;"","To invoice","In progress"),IF(M377&lt;=0,"Paid",IF(TODAY()&gt;J377,"Overdue","Awaiting payment"))))</f>
        <v/>
      </c>
    </row>
    <row r="378" customFormat="false" ht="15" hidden="false" customHeight="false" outlineLevel="0" collapsed="false">
      <c r="A378" s="15"/>
      <c r="B378" s="15"/>
      <c r="C378" s="15"/>
      <c r="D378" s="16"/>
      <c r="E378" s="16"/>
      <c r="F378" s="17"/>
      <c r="G378" s="15"/>
      <c r="H378" s="16"/>
      <c r="I378" s="17"/>
      <c r="J378" s="12" t="str">
        <f aca="false">IF(H378="","",H378+Summary!$B$4)</f>
        <v/>
      </c>
      <c r="K378" s="17"/>
      <c r="L378" s="16"/>
      <c r="M378" s="13" t="str">
        <f aca="false">IF(I378="","",I378-N(K378))</f>
        <v/>
      </c>
      <c r="N378" s="14" t="str">
        <f aca="true">IF(A378="","",IF(I378="",IF(E378&lt;&gt;"","To invoice","In progress"),IF(M378&lt;=0,"Paid",IF(TODAY()&gt;J378,"Overdue","Awaiting payment"))))</f>
        <v/>
      </c>
    </row>
    <row r="379" customFormat="false" ht="15" hidden="false" customHeight="false" outlineLevel="0" collapsed="false">
      <c r="A379" s="15"/>
      <c r="B379" s="15"/>
      <c r="C379" s="15"/>
      <c r="D379" s="16"/>
      <c r="E379" s="16"/>
      <c r="F379" s="17"/>
      <c r="G379" s="15"/>
      <c r="H379" s="16"/>
      <c r="I379" s="17"/>
      <c r="J379" s="12" t="str">
        <f aca="false">IF(H379="","",H379+Summary!$B$4)</f>
        <v/>
      </c>
      <c r="K379" s="17"/>
      <c r="L379" s="16"/>
      <c r="M379" s="13" t="str">
        <f aca="false">IF(I379="","",I379-N(K379))</f>
        <v/>
      </c>
      <c r="N379" s="14" t="str">
        <f aca="true">IF(A379="","",IF(I379="",IF(E379&lt;&gt;"","To invoice","In progress"),IF(M379&lt;=0,"Paid",IF(TODAY()&gt;J379,"Overdue","Awaiting payment"))))</f>
        <v/>
      </c>
    </row>
    <row r="380" customFormat="false" ht="15" hidden="false" customHeight="false" outlineLevel="0" collapsed="false">
      <c r="A380" s="15"/>
      <c r="B380" s="15"/>
      <c r="C380" s="15"/>
      <c r="D380" s="16"/>
      <c r="E380" s="16"/>
      <c r="F380" s="17"/>
      <c r="G380" s="15"/>
      <c r="H380" s="16"/>
      <c r="I380" s="17"/>
      <c r="J380" s="12" t="str">
        <f aca="false">IF(H380="","",H380+Summary!$B$4)</f>
        <v/>
      </c>
      <c r="K380" s="17"/>
      <c r="L380" s="16"/>
      <c r="M380" s="13" t="str">
        <f aca="false">IF(I380="","",I380-N(K380))</f>
        <v/>
      </c>
      <c r="N380" s="14" t="str">
        <f aca="true">IF(A380="","",IF(I380="",IF(E380&lt;&gt;"","To invoice","In progress"),IF(M380&lt;=0,"Paid",IF(TODAY()&gt;J380,"Overdue","Awaiting payment"))))</f>
        <v/>
      </c>
    </row>
    <row r="381" customFormat="false" ht="15" hidden="false" customHeight="false" outlineLevel="0" collapsed="false">
      <c r="A381" s="15"/>
      <c r="B381" s="15"/>
      <c r="C381" s="15"/>
      <c r="D381" s="16"/>
      <c r="E381" s="16"/>
      <c r="F381" s="17"/>
      <c r="G381" s="15"/>
      <c r="H381" s="16"/>
      <c r="I381" s="17"/>
      <c r="J381" s="12" t="str">
        <f aca="false">IF(H381="","",H381+Summary!$B$4)</f>
        <v/>
      </c>
      <c r="K381" s="17"/>
      <c r="L381" s="16"/>
      <c r="M381" s="13" t="str">
        <f aca="false">IF(I381="","",I381-N(K381))</f>
        <v/>
      </c>
      <c r="N381" s="14" t="str">
        <f aca="true">IF(A381="","",IF(I381="",IF(E381&lt;&gt;"","To invoice","In progress"),IF(M381&lt;=0,"Paid",IF(TODAY()&gt;J381,"Overdue","Awaiting payment"))))</f>
        <v/>
      </c>
    </row>
    <row r="382" customFormat="false" ht="15" hidden="false" customHeight="false" outlineLevel="0" collapsed="false">
      <c r="A382" s="15"/>
      <c r="B382" s="15"/>
      <c r="C382" s="15"/>
      <c r="D382" s="16"/>
      <c r="E382" s="16"/>
      <c r="F382" s="17"/>
      <c r="G382" s="15"/>
      <c r="H382" s="16"/>
      <c r="I382" s="17"/>
      <c r="J382" s="12" t="str">
        <f aca="false">IF(H382="","",H382+Summary!$B$4)</f>
        <v/>
      </c>
      <c r="K382" s="17"/>
      <c r="L382" s="16"/>
      <c r="M382" s="13" t="str">
        <f aca="false">IF(I382="","",I382-N(K382))</f>
        <v/>
      </c>
      <c r="N382" s="14" t="str">
        <f aca="true">IF(A382="","",IF(I382="",IF(E382&lt;&gt;"","To invoice","In progress"),IF(M382&lt;=0,"Paid",IF(TODAY()&gt;J382,"Overdue","Awaiting payment"))))</f>
        <v/>
      </c>
    </row>
    <row r="383" customFormat="false" ht="15" hidden="false" customHeight="false" outlineLevel="0" collapsed="false">
      <c r="A383" s="15"/>
      <c r="B383" s="15"/>
      <c r="C383" s="15"/>
      <c r="D383" s="16"/>
      <c r="E383" s="16"/>
      <c r="F383" s="17"/>
      <c r="G383" s="15"/>
      <c r="H383" s="16"/>
      <c r="I383" s="17"/>
      <c r="J383" s="12" t="str">
        <f aca="false">IF(H383="","",H383+Summary!$B$4)</f>
        <v/>
      </c>
      <c r="K383" s="17"/>
      <c r="L383" s="16"/>
      <c r="M383" s="13" t="str">
        <f aca="false">IF(I383="","",I383-N(K383))</f>
        <v/>
      </c>
      <c r="N383" s="14" t="str">
        <f aca="true">IF(A383="","",IF(I383="",IF(E383&lt;&gt;"","To invoice","In progress"),IF(M383&lt;=0,"Paid",IF(TODAY()&gt;J383,"Overdue","Awaiting payment"))))</f>
        <v/>
      </c>
    </row>
    <row r="384" customFormat="false" ht="15" hidden="false" customHeight="false" outlineLevel="0" collapsed="false">
      <c r="A384" s="15"/>
      <c r="B384" s="15"/>
      <c r="C384" s="15"/>
      <c r="D384" s="16"/>
      <c r="E384" s="16"/>
      <c r="F384" s="17"/>
      <c r="G384" s="15"/>
      <c r="H384" s="16"/>
      <c r="I384" s="17"/>
      <c r="J384" s="12" t="str">
        <f aca="false">IF(H384="","",H384+Summary!$B$4)</f>
        <v/>
      </c>
      <c r="K384" s="17"/>
      <c r="L384" s="16"/>
      <c r="M384" s="13" t="str">
        <f aca="false">IF(I384="","",I384-N(K384))</f>
        <v/>
      </c>
      <c r="N384" s="14" t="str">
        <f aca="true">IF(A384="","",IF(I384="",IF(E384&lt;&gt;"","To invoice","In progress"),IF(M384&lt;=0,"Paid",IF(TODAY()&gt;J384,"Overdue","Awaiting payment"))))</f>
        <v/>
      </c>
    </row>
    <row r="385" customFormat="false" ht="15" hidden="false" customHeight="false" outlineLevel="0" collapsed="false">
      <c r="A385" s="15"/>
      <c r="B385" s="15"/>
      <c r="C385" s="15"/>
      <c r="D385" s="16"/>
      <c r="E385" s="16"/>
      <c r="F385" s="17"/>
      <c r="G385" s="15"/>
      <c r="H385" s="16"/>
      <c r="I385" s="17"/>
      <c r="J385" s="12" t="str">
        <f aca="false">IF(H385="","",H385+Summary!$B$4)</f>
        <v/>
      </c>
      <c r="K385" s="17"/>
      <c r="L385" s="16"/>
      <c r="M385" s="13" t="str">
        <f aca="false">IF(I385="","",I385-N(K385))</f>
        <v/>
      </c>
      <c r="N385" s="14" t="str">
        <f aca="true">IF(A385="","",IF(I385="",IF(E385&lt;&gt;"","To invoice","In progress"),IF(M385&lt;=0,"Paid",IF(TODAY()&gt;J385,"Overdue","Awaiting payment"))))</f>
        <v/>
      </c>
    </row>
    <row r="386" customFormat="false" ht="15" hidden="false" customHeight="false" outlineLevel="0" collapsed="false">
      <c r="A386" s="15"/>
      <c r="B386" s="15"/>
      <c r="C386" s="15"/>
      <c r="D386" s="16"/>
      <c r="E386" s="16"/>
      <c r="F386" s="17"/>
      <c r="G386" s="15"/>
      <c r="H386" s="16"/>
      <c r="I386" s="17"/>
      <c r="J386" s="12" t="str">
        <f aca="false">IF(H386="","",H386+Summary!$B$4)</f>
        <v/>
      </c>
      <c r="K386" s="17"/>
      <c r="L386" s="16"/>
      <c r="M386" s="13" t="str">
        <f aca="false">IF(I386="","",I386-N(K386))</f>
        <v/>
      </c>
      <c r="N386" s="14" t="str">
        <f aca="true">IF(A386="","",IF(I386="",IF(E386&lt;&gt;"","To invoice","In progress"),IF(M386&lt;=0,"Paid",IF(TODAY()&gt;J386,"Overdue","Awaiting payment"))))</f>
        <v/>
      </c>
    </row>
    <row r="387" customFormat="false" ht="15" hidden="false" customHeight="false" outlineLevel="0" collapsed="false">
      <c r="A387" s="15"/>
      <c r="B387" s="15"/>
      <c r="C387" s="15"/>
      <c r="D387" s="16"/>
      <c r="E387" s="16"/>
      <c r="F387" s="17"/>
      <c r="G387" s="15"/>
      <c r="H387" s="16"/>
      <c r="I387" s="17"/>
      <c r="J387" s="12" t="str">
        <f aca="false">IF(H387="","",H387+Summary!$B$4)</f>
        <v/>
      </c>
      <c r="K387" s="17"/>
      <c r="L387" s="16"/>
      <c r="M387" s="13" t="str">
        <f aca="false">IF(I387="","",I387-N(K387))</f>
        <v/>
      </c>
      <c r="N387" s="14" t="str">
        <f aca="true">IF(A387="","",IF(I387="",IF(E387&lt;&gt;"","To invoice","In progress"),IF(M387&lt;=0,"Paid",IF(TODAY()&gt;J387,"Overdue","Awaiting payment"))))</f>
        <v/>
      </c>
    </row>
    <row r="388" customFormat="false" ht="15" hidden="false" customHeight="false" outlineLevel="0" collapsed="false">
      <c r="A388" s="15"/>
      <c r="B388" s="15"/>
      <c r="C388" s="15"/>
      <c r="D388" s="16"/>
      <c r="E388" s="16"/>
      <c r="F388" s="17"/>
      <c r="G388" s="15"/>
      <c r="H388" s="16"/>
      <c r="I388" s="17"/>
      <c r="J388" s="12" t="str">
        <f aca="false">IF(H388="","",H388+Summary!$B$4)</f>
        <v/>
      </c>
      <c r="K388" s="17"/>
      <c r="L388" s="16"/>
      <c r="M388" s="13" t="str">
        <f aca="false">IF(I388="","",I388-N(K388))</f>
        <v/>
      </c>
      <c r="N388" s="14" t="str">
        <f aca="true">IF(A388="","",IF(I388="",IF(E388&lt;&gt;"","To invoice","In progress"),IF(M388&lt;=0,"Paid",IF(TODAY()&gt;J388,"Overdue","Awaiting payment"))))</f>
        <v/>
      </c>
    </row>
    <row r="389" customFormat="false" ht="15" hidden="false" customHeight="false" outlineLevel="0" collapsed="false">
      <c r="A389" s="15"/>
      <c r="B389" s="15"/>
      <c r="C389" s="15"/>
      <c r="D389" s="16"/>
      <c r="E389" s="16"/>
      <c r="F389" s="17"/>
      <c r="G389" s="15"/>
      <c r="H389" s="16"/>
      <c r="I389" s="17"/>
      <c r="J389" s="12" t="str">
        <f aca="false">IF(H389="","",H389+Summary!$B$4)</f>
        <v/>
      </c>
      <c r="K389" s="17"/>
      <c r="L389" s="16"/>
      <c r="M389" s="13" t="str">
        <f aca="false">IF(I389="","",I389-N(K389))</f>
        <v/>
      </c>
      <c r="N389" s="14" t="str">
        <f aca="true">IF(A389="","",IF(I389="",IF(E389&lt;&gt;"","To invoice","In progress"),IF(M389&lt;=0,"Paid",IF(TODAY()&gt;J389,"Overdue","Awaiting payment"))))</f>
        <v/>
      </c>
    </row>
    <row r="390" customFormat="false" ht="15" hidden="false" customHeight="false" outlineLevel="0" collapsed="false">
      <c r="A390" s="15"/>
      <c r="B390" s="15"/>
      <c r="C390" s="15"/>
      <c r="D390" s="16"/>
      <c r="E390" s="16"/>
      <c r="F390" s="17"/>
      <c r="G390" s="15"/>
      <c r="H390" s="16"/>
      <c r="I390" s="17"/>
      <c r="J390" s="12" t="str">
        <f aca="false">IF(H390="","",H390+Summary!$B$4)</f>
        <v/>
      </c>
      <c r="K390" s="17"/>
      <c r="L390" s="16"/>
      <c r="M390" s="13" t="str">
        <f aca="false">IF(I390="","",I390-N(K390))</f>
        <v/>
      </c>
      <c r="N390" s="14" t="str">
        <f aca="true">IF(A390="","",IF(I390="",IF(E390&lt;&gt;"","To invoice","In progress"),IF(M390&lt;=0,"Paid",IF(TODAY()&gt;J390,"Overdue","Awaiting payment"))))</f>
        <v/>
      </c>
    </row>
    <row r="391" customFormat="false" ht="15" hidden="false" customHeight="false" outlineLevel="0" collapsed="false">
      <c r="A391" s="15"/>
      <c r="B391" s="15"/>
      <c r="C391" s="15"/>
      <c r="D391" s="16"/>
      <c r="E391" s="16"/>
      <c r="F391" s="17"/>
      <c r="G391" s="15"/>
      <c r="H391" s="16"/>
      <c r="I391" s="17"/>
      <c r="J391" s="12" t="str">
        <f aca="false">IF(H391="","",H391+Summary!$B$4)</f>
        <v/>
      </c>
      <c r="K391" s="17"/>
      <c r="L391" s="16"/>
      <c r="M391" s="13" t="str">
        <f aca="false">IF(I391="","",I391-N(K391))</f>
        <v/>
      </c>
      <c r="N391" s="14" t="str">
        <f aca="true">IF(A391="","",IF(I391="",IF(E391&lt;&gt;"","To invoice","In progress"),IF(M391&lt;=0,"Paid",IF(TODAY()&gt;J391,"Overdue","Awaiting payment"))))</f>
        <v/>
      </c>
    </row>
    <row r="392" customFormat="false" ht="15" hidden="false" customHeight="false" outlineLevel="0" collapsed="false">
      <c r="A392" s="15"/>
      <c r="B392" s="15"/>
      <c r="C392" s="15"/>
      <c r="D392" s="16"/>
      <c r="E392" s="16"/>
      <c r="F392" s="17"/>
      <c r="G392" s="15"/>
      <c r="H392" s="16"/>
      <c r="I392" s="17"/>
      <c r="J392" s="12" t="str">
        <f aca="false">IF(H392="","",H392+Summary!$B$4)</f>
        <v/>
      </c>
      <c r="K392" s="17"/>
      <c r="L392" s="16"/>
      <c r="M392" s="13" t="str">
        <f aca="false">IF(I392="","",I392-N(K392))</f>
        <v/>
      </c>
      <c r="N392" s="14" t="str">
        <f aca="true">IF(A392="","",IF(I392="",IF(E392&lt;&gt;"","To invoice","In progress"),IF(M392&lt;=0,"Paid",IF(TODAY()&gt;J392,"Overdue","Awaiting payment"))))</f>
        <v/>
      </c>
    </row>
    <row r="393" customFormat="false" ht="15" hidden="false" customHeight="false" outlineLevel="0" collapsed="false">
      <c r="A393" s="15"/>
      <c r="B393" s="15"/>
      <c r="C393" s="15"/>
      <c r="D393" s="16"/>
      <c r="E393" s="16"/>
      <c r="F393" s="17"/>
      <c r="G393" s="15"/>
      <c r="H393" s="16"/>
      <c r="I393" s="17"/>
      <c r="J393" s="12" t="str">
        <f aca="false">IF(H393="","",H393+Summary!$B$4)</f>
        <v/>
      </c>
      <c r="K393" s="17"/>
      <c r="L393" s="16"/>
      <c r="M393" s="13" t="str">
        <f aca="false">IF(I393="","",I393-N(K393))</f>
        <v/>
      </c>
      <c r="N393" s="14" t="str">
        <f aca="true">IF(A393="","",IF(I393="",IF(E393&lt;&gt;"","To invoice","In progress"),IF(M393&lt;=0,"Paid",IF(TODAY()&gt;J393,"Overdue","Awaiting payment"))))</f>
        <v/>
      </c>
    </row>
    <row r="394" customFormat="false" ht="15" hidden="false" customHeight="false" outlineLevel="0" collapsed="false">
      <c r="A394" s="15"/>
      <c r="B394" s="15"/>
      <c r="C394" s="15"/>
      <c r="D394" s="16"/>
      <c r="E394" s="16"/>
      <c r="F394" s="17"/>
      <c r="G394" s="15"/>
      <c r="H394" s="16"/>
      <c r="I394" s="17"/>
      <c r="J394" s="12" t="str">
        <f aca="false">IF(H394="","",H394+Summary!$B$4)</f>
        <v/>
      </c>
      <c r="K394" s="17"/>
      <c r="L394" s="16"/>
      <c r="M394" s="13" t="str">
        <f aca="false">IF(I394="","",I394-N(K394))</f>
        <v/>
      </c>
      <c r="N394" s="14" t="str">
        <f aca="true">IF(A394="","",IF(I394="",IF(E394&lt;&gt;"","To invoice","In progress"),IF(M394&lt;=0,"Paid",IF(TODAY()&gt;J394,"Overdue","Awaiting payment"))))</f>
        <v/>
      </c>
    </row>
    <row r="395" customFormat="false" ht="15" hidden="false" customHeight="false" outlineLevel="0" collapsed="false">
      <c r="A395" s="15"/>
      <c r="B395" s="15"/>
      <c r="C395" s="15"/>
      <c r="D395" s="16"/>
      <c r="E395" s="16"/>
      <c r="F395" s="17"/>
      <c r="G395" s="15"/>
      <c r="H395" s="16"/>
      <c r="I395" s="17"/>
      <c r="J395" s="12" t="str">
        <f aca="false">IF(H395="","",H395+Summary!$B$4)</f>
        <v/>
      </c>
      <c r="K395" s="17"/>
      <c r="L395" s="16"/>
      <c r="M395" s="13" t="str">
        <f aca="false">IF(I395="","",I395-N(K395))</f>
        <v/>
      </c>
      <c r="N395" s="14" t="str">
        <f aca="true">IF(A395="","",IF(I395="",IF(E395&lt;&gt;"","To invoice","In progress"),IF(M395&lt;=0,"Paid",IF(TODAY()&gt;J395,"Overdue","Awaiting payment"))))</f>
        <v/>
      </c>
    </row>
    <row r="396" customFormat="false" ht="15" hidden="false" customHeight="false" outlineLevel="0" collapsed="false">
      <c r="A396" s="15"/>
      <c r="B396" s="15"/>
      <c r="C396" s="15"/>
      <c r="D396" s="16"/>
      <c r="E396" s="16"/>
      <c r="F396" s="17"/>
      <c r="G396" s="15"/>
      <c r="H396" s="16"/>
      <c r="I396" s="17"/>
      <c r="J396" s="12" t="str">
        <f aca="false">IF(H396="","",H396+Summary!$B$4)</f>
        <v/>
      </c>
      <c r="K396" s="17"/>
      <c r="L396" s="16"/>
      <c r="M396" s="13" t="str">
        <f aca="false">IF(I396="","",I396-N(K396))</f>
        <v/>
      </c>
      <c r="N396" s="14" t="str">
        <f aca="true">IF(A396="","",IF(I396="",IF(E396&lt;&gt;"","To invoice","In progress"),IF(M396&lt;=0,"Paid",IF(TODAY()&gt;J396,"Overdue","Awaiting payment"))))</f>
        <v/>
      </c>
    </row>
    <row r="397" customFormat="false" ht="15" hidden="false" customHeight="false" outlineLevel="0" collapsed="false">
      <c r="A397" s="15"/>
      <c r="B397" s="15"/>
      <c r="C397" s="15"/>
      <c r="D397" s="16"/>
      <c r="E397" s="16"/>
      <c r="F397" s="17"/>
      <c r="G397" s="15"/>
      <c r="H397" s="16"/>
      <c r="I397" s="17"/>
      <c r="J397" s="12" t="str">
        <f aca="false">IF(H397="","",H397+Summary!$B$4)</f>
        <v/>
      </c>
      <c r="K397" s="17"/>
      <c r="L397" s="16"/>
      <c r="M397" s="13" t="str">
        <f aca="false">IF(I397="","",I397-N(K397))</f>
        <v/>
      </c>
      <c r="N397" s="14" t="str">
        <f aca="true">IF(A397="","",IF(I397="",IF(E397&lt;&gt;"","To invoice","In progress"),IF(M397&lt;=0,"Paid",IF(TODAY()&gt;J397,"Overdue","Awaiting payment"))))</f>
        <v/>
      </c>
    </row>
    <row r="398" customFormat="false" ht="15" hidden="false" customHeight="false" outlineLevel="0" collapsed="false">
      <c r="A398" s="15"/>
      <c r="B398" s="15"/>
      <c r="C398" s="15"/>
      <c r="D398" s="16"/>
      <c r="E398" s="16"/>
      <c r="F398" s="17"/>
      <c r="G398" s="15"/>
      <c r="H398" s="16"/>
      <c r="I398" s="17"/>
      <c r="J398" s="12" t="str">
        <f aca="false">IF(H398="","",H398+Summary!$B$4)</f>
        <v/>
      </c>
      <c r="K398" s="17"/>
      <c r="L398" s="16"/>
      <c r="M398" s="13" t="str">
        <f aca="false">IF(I398="","",I398-N(K398))</f>
        <v/>
      </c>
      <c r="N398" s="14" t="str">
        <f aca="true">IF(A398="","",IF(I398="",IF(E398&lt;&gt;"","To invoice","In progress"),IF(M398&lt;=0,"Paid",IF(TODAY()&gt;J398,"Overdue","Awaiting payment"))))</f>
        <v/>
      </c>
    </row>
    <row r="399" customFormat="false" ht="15" hidden="false" customHeight="false" outlineLevel="0" collapsed="false">
      <c r="A399" s="15"/>
      <c r="B399" s="15"/>
      <c r="C399" s="15"/>
      <c r="D399" s="16"/>
      <c r="E399" s="16"/>
      <c r="F399" s="17"/>
      <c r="G399" s="15"/>
      <c r="H399" s="16"/>
      <c r="I399" s="17"/>
      <c r="J399" s="12" t="str">
        <f aca="false">IF(H399="","",H399+Summary!$B$4)</f>
        <v/>
      </c>
      <c r="K399" s="17"/>
      <c r="L399" s="16"/>
      <c r="M399" s="13" t="str">
        <f aca="false">IF(I399="","",I399-N(K399))</f>
        <v/>
      </c>
      <c r="N399" s="14" t="str">
        <f aca="true">IF(A399="","",IF(I399="",IF(E399&lt;&gt;"","To invoice","In progress"),IF(M399&lt;=0,"Paid",IF(TODAY()&gt;J399,"Overdue","Awaiting payment"))))</f>
        <v/>
      </c>
    </row>
    <row r="400" customFormat="false" ht="15" hidden="false" customHeight="false" outlineLevel="0" collapsed="false">
      <c r="A400" s="15"/>
      <c r="B400" s="15"/>
      <c r="C400" s="15"/>
      <c r="D400" s="16"/>
      <c r="E400" s="16"/>
      <c r="F400" s="17"/>
      <c r="G400" s="15"/>
      <c r="H400" s="16"/>
      <c r="I400" s="17"/>
      <c r="J400" s="12" t="str">
        <f aca="false">IF(H400="","",H400+Summary!$B$4)</f>
        <v/>
      </c>
      <c r="K400" s="17"/>
      <c r="L400" s="16"/>
      <c r="M400" s="13" t="str">
        <f aca="false">IF(I400="","",I400-N(K400))</f>
        <v/>
      </c>
      <c r="N400" s="14" t="str">
        <f aca="true">IF(A400="","",IF(I400="",IF(E400&lt;&gt;"","To invoice","In progress"),IF(M400&lt;=0,"Paid",IF(TODAY()&gt;J400,"Overdue","Awaiting payment"))))</f>
        <v/>
      </c>
    </row>
    <row r="401" customFormat="false" ht="15" hidden="false" customHeight="false" outlineLevel="0" collapsed="false">
      <c r="A401" s="15"/>
      <c r="B401" s="15"/>
      <c r="C401" s="15"/>
      <c r="D401" s="16"/>
      <c r="E401" s="16"/>
      <c r="F401" s="17"/>
      <c r="G401" s="15"/>
      <c r="H401" s="16"/>
      <c r="I401" s="17"/>
      <c r="J401" s="12" t="str">
        <f aca="false">IF(H401="","",H401+Summary!$B$4)</f>
        <v/>
      </c>
      <c r="K401" s="17"/>
      <c r="L401" s="16"/>
      <c r="M401" s="13" t="str">
        <f aca="false">IF(I401="","",I401-N(K401))</f>
        <v/>
      </c>
      <c r="N401" s="14" t="str">
        <f aca="true">IF(A401="","",IF(I401="",IF(E401&lt;&gt;"","To invoice","In progress"),IF(M401&lt;=0,"Paid",IF(TODAY()&gt;J401,"Overdue","Awaiting payment"))))</f>
        <v/>
      </c>
    </row>
    <row r="402" customFormat="false" ht="15" hidden="false" customHeight="false" outlineLevel="0" collapsed="false">
      <c r="A402" s="15"/>
      <c r="B402" s="15"/>
      <c r="C402" s="15"/>
      <c r="D402" s="16"/>
      <c r="E402" s="16"/>
      <c r="F402" s="17"/>
      <c r="G402" s="15"/>
      <c r="H402" s="16"/>
      <c r="I402" s="17"/>
      <c r="J402" s="12" t="str">
        <f aca="false">IF(H402="","",H402+Summary!$B$4)</f>
        <v/>
      </c>
      <c r="K402" s="17"/>
      <c r="L402" s="16"/>
      <c r="M402" s="13" t="str">
        <f aca="false">IF(I402="","",I402-N(K402))</f>
        <v/>
      </c>
      <c r="N402" s="14" t="str">
        <f aca="true">IF(A402="","",IF(I402="",IF(E402&lt;&gt;"","To invoice","In progress"),IF(M402&lt;=0,"Paid",IF(TODAY()&gt;J402,"Overdue","Awaiting payment"))))</f>
        <v/>
      </c>
    </row>
    <row r="403" customFormat="false" ht="15" hidden="false" customHeight="false" outlineLevel="0" collapsed="false">
      <c r="A403" s="15"/>
      <c r="B403" s="15"/>
      <c r="C403" s="15"/>
      <c r="D403" s="16"/>
      <c r="E403" s="16"/>
      <c r="F403" s="17"/>
      <c r="G403" s="15"/>
      <c r="H403" s="16"/>
      <c r="I403" s="17"/>
      <c r="J403" s="12" t="str">
        <f aca="false">IF(H403="","",H403+Summary!$B$4)</f>
        <v/>
      </c>
      <c r="K403" s="17"/>
      <c r="L403" s="16"/>
      <c r="M403" s="13" t="str">
        <f aca="false">IF(I403="","",I403-N(K403))</f>
        <v/>
      </c>
      <c r="N403" s="14" t="str">
        <f aca="true">IF(A403="","",IF(I403="",IF(E403&lt;&gt;"","To invoice","In progress"),IF(M403&lt;=0,"Paid",IF(TODAY()&gt;J403,"Overdue","Awaiting payment"))))</f>
        <v/>
      </c>
    </row>
    <row r="404" customFormat="false" ht="15" hidden="false" customHeight="false" outlineLevel="0" collapsed="false">
      <c r="A404" s="15"/>
      <c r="B404" s="15"/>
      <c r="C404" s="15"/>
      <c r="D404" s="16"/>
      <c r="E404" s="16"/>
      <c r="F404" s="17"/>
      <c r="G404" s="15"/>
      <c r="H404" s="16"/>
      <c r="I404" s="17"/>
      <c r="J404" s="12" t="str">
        <f aca="false">IF(H404="","",H404+Summary!$B$4)</f>
        <v/>
      </c>
      <c r="K404" s="17"/>
      <c r="L404" s="16"/>
      <c r="M404" s="13" t="str">
        <f aca="false">IF(I404="","",I404-N(K404))</f>
        <v/>
      </c>
      <c r="N404" s="14" t="str">
        <f aca="true">IF(A404="","",IF(I404="",IF(E404&lt;&gt;"","To invoice","In progress"),IF(M404&lt;=0,"Paid",IF(TODAY()&gt;J404,"Overdue","Awaiting payment"))))</f>
        <v/>
      </c>
    </row>
    <row r="405" customFormat="false" ht="15" hidden="false" customHeight="false" outlineLevel="0" collapsed="false">
      <c r="A405" s="15"/>
      <c r="B405" s="15"/>
      <c r="C405" s="15"/>
      <c r="D405" s="16"/>
      <c r="E405" s="16"/>
      <c r="F405" s="17"/>
      <c r="G405" s="15"/>
      <c r="H405" s="16"/>
      <c r="I405" s="17"/>
      <c r="J405" s="12" t="str">
        <f aca="false">IF(H405="","",H405+Summary!$B$4)</f>
        <v/>
      </c>
      <c r="K405" s="17"/>
      <c r="L405" s="16"/>
      <c r="M405" s="13" t="str">
        <f aca="false">IF(I405="","",I405-N(K405))</f>
        <v/>
      </c>
      <c r="N405" s="14" t="str">
        <f aca="true">IF(A405="","",IF(I405="",IF(E405&lt;&gt;"","To invoice","In progress"),IF(M405&lt;=0,"Paid",IF(TODAY()&gt;J405,"Overdue","Awaiting payment"))))</f>
        <v/>
      </c>
    </row>
    <row r="406" customFormat="false" ht="15" hidden="false" customHeight="false" outlineLevel="0" collapsed="false">
      <c r="A406" s="15"/>
      <c r="B406" s="15"/>
      <c r="C406" s="15"/>
      <c r="D406" s="16"/>
      <c r="E406" s="16"/>
      <c r="F406" s="17"/>
      <c r="G406" s="15"/>
      <c r="H406" s="16"/>
      <c r="I406" s="17"/>
      <c r="J406" s="12" t="str">
        <f aca="false">IF(H406="","",H406+Summary!$B$4)</f>
        <v/>
      </c>
      <c r="K406" s="17"/>
      <c r="L406" s="16"/>
      <c r="M406" s="13" t="str">
        <f aca="false">IF(I406="","",I406-N(K406))</f>
        <v/>
      </c>
      <c r="N406" s="14" t="str">
        <f aca="true">IF(A406="","",IF(I406="",IF(E406&lt;&gt;"","To invoice","In progress"),IF(M406&lt;=0,"Paid",IF(TODAY()&gt;J406,"Overdue","Awaiting payment"))))</f>
        <v/>
      </c>
    </row>
    <row r="407" customFormat="false" ht="15" hidden="false" customHeight="false" outlineLevel="0" collapsed="false">
      <c r="A407" s="15"/>
      <c r="B407" s="15"/>
      <c r="C407" s="15"/>
      <c r="D407" s="16"/>
      <c r="E407" s="16"/>
      <c r="F407" s="17"/>
      <c r="G407" s="15"/>
      <c r="H407" s="16"/>
      <c r="I407" s="17"/>
      <c r="J407" s="12" t="str">
        <f aca="false">IF(H407="","",H407+Summary!$B$4)</f>
        <v/>
      </c>
      <c r="K407" s="17"/>
      <c r="L407" s="16"/>
      <c r="M407" s="13" t="str">
        <f aca="false">IF(I407="","",I407-N(K407))</f>
        <v/>
      </c>
      <c r="N407" s="14" t="str">
        <f aca="true">IF(A407="","",IF(I407="",IF(E407&lt;&gt;"","To invoice","In progress"),IF(M407&lt;=0,"Paid",IF(TODAY()&gt;J407,"Overdue","Awaiting payment"))))</f>
        <v/>
      </c>
    </row>
    <row r="408" customFormat="false" ht="15" hidden="false" customHeight="false" outlineLevel="0" collapsed="false">
      <c r="A408" s="15"/>
      <c r="B408" s="15"/>
      <c r="C408" s="15"/>
      <c r="D408" s="16"/>
      <c r="E408" s="16"/>
      <c r="F408" s="17"/>
      <c r="G408" s="15"/>
      <c r="H408" s="16"/>
      <c r="I408" s="17"/>
      <c r="J408" s="12" t="str">
        <f aca="false">IF(H408="","",H408+Summary!$B$4)</f>
        <v/>
      </c>
      <c r="K408" s="17"/>
      <c r="L408" s="16"/>
      <c r="M408" s="13" t="str">
        <f aca="false">IF(I408="","",I408-N(K408))</f>
        <v/>
      </c>
      <c r="N408" s="14" t="str">
        <f aca="true">IF(A408="","",IF(I408="",IF(E408&lt;&gt;"","To invoice","In progress"),IF(M408&lt;=0,"Paid",IF(TODAY()&gt;J408,"Overdue","Awaiting payment"))))</f>
        <v/>
      </c>
    </row>
    <row r="409" customFormat="false" ht="15" hidden="false" customHeight="false" outlineLevel="0" collapsed="false">
      <c r="A409" s="15"/>
      <c r="B409" s="15"/>
      <c r="C409" s="15"/>
      <c r="D409" s="16"/>
      <c r="E409" s="16"/>
      <c r="F409" s="17"/>
      <c r="G409" s="15"/>
      <c r="H409" s="16"/>
      <c r="I409" s="17"/>
      <c r="J409" s="12" t="str">
        <f aca="false">IF(H409="","",H409+Summary!$B$4)</f>
        <v/>
      </c>
      <c r="K409" s="17"/>
      <c r="L409" s="16"/>
      <c r="M409" s="13" t="str">
        <f aca="false">IF(I409="","",I409-N(K409))</f>
        <v/>
      </c>
      <c r="N409" s="14" t="str">
        <f aca="true">IF(A409="","",IF(I409="",IF(E409&lt;&gt;"","To invoice","In progress"),IF(M409&lt;=0,"Paid",IF(TODAY()&gt;J409,"Overdue","Awaiting payment"))))</f>
        <v/>
      </c>
    </row>
    <row r="410" customFormat="false" ht="15" hidden="false" customHeight="false" outlineLevel="0" collapsed="false">
      <c r="A410" s="15"/>
      <c r="B410" s="15"/>
      <c r="C410" s="15"/>
      <c r="D410" s="16"/>
      <c r="E410" s="16"/>
      <c r="F410" s="17"/>
      <c r="G410" s="15"/>
      <c r="H410" s="16"/>
      <c r="I410" s="17"/>
      <c r="J410" s="12" t="str">
        <f aca="false">IF(H410="","",H410+Summary!$B$4)</f>
        <v/>
      </c>
      <c r="K410" s="17"/>
      <c r="L410" s="16"/>
      <c r="M410" s="13" t="str">
        <f aca="false">IF(I410="","",I410-N(K410))</f>
        <v/>
      </c>
      <c r="N410" s="14" t="str">
        <f aca="true">IF(A410="","",IF(I410="",IF(E410&lt;&gt;"","To invoice","In progress"),IF(M410&lt;=0,"Paid",IF(TODAY()&gt;J410,"Overdue","Awaiting payment"))))</f>
        <v/>
      </c>
    </row>
    <row r="411" customFormat="false" ht="15" hidden="false" customHeight="false" outlineLevel="0" collapsed="false">
      <c r="A411" s="15"/>
      <c r="B411" s="15"/>
      <c r="C411" s="15"/>
      <c r="D411" s="16"/>
      <c r="E411" s="16"/>
      <c r="F411" s="17"/>
      <c r="G411" s="15"/>
      <c r="H411" s="16"/>
      <c r="I411" s="17"/>
      <c r="J411" s="12" t="str">
        <f aca="false">IF(H411="","",H411+Summary!$B$4)</f>
        <v/>
      </c>
      <c r="K411" s="17"/>
      <c r="L411" s="16"/>
      <c r="M411" s="13" t="str">
        <f aca="false">IF(I411="","",I411-N(K411))</f>
        <v/>
      </c>
      <c r="N411" s="14" t="str">
        <f aca="true">IF(A411="","",IF(I411="",IF(E411&lt;&gt;"","To invoice","In progress"),IF(M411&lt;=0,"Paid",IF(TODAY()&gt;J411,"Overdue","Awaiting payment"))))</f>
        <v/>
      </c>
    </row>
    <row r="412" customFormat="false" ht="15" hidden="false" customHeight="false" outlineLevel="0" collapsed="false">
      <c r="A412" s="15"/>
      <c r="B412" s="15"/>
      <c r="C412" s="15"/>
      <c r="D412" s="16"/>
      <c r="E412" s="16"/>
      <c r="F412" s="17"/>
      <c r="G412" s="15"/>
      <c r="H412" s="16"/>
      <c r="I412" s="17"/>
      <c r="J412" s="12" t="str">
        <f aca="false">IF(H412="","",H412+Summary!$B$4)</f>
        <v/>
      </c>
      <c r="K412" s="17"/>
      <c r="L412" s="16"/>
      <c r="M412" s="13" t="str">
        <f aca="false">IF(I412="","",I412-N(K412))</f>
        <v/>
      </c>
      <c r="N412" s="14" t="str">
        <f aca="true">IF(A412="","",IF(I412="",IF(E412&lt;&gt;"","To invoice","In progress"),IF(M412&lt;=0,"Paid",IF(TODAY()&gt;J412,"Overdue","Awaiting payment"))))</f>
        <v/>
      </c>
    </row>
    <row r="413" customFormat="false" ht="15" hidden="false" customHeight="false" outlineLevel="0" collapsed="false">
      <c r="A413" s="15"/>
      <c r="B413" s="15"/>
      <c r="C413" s="15"/>
      <c r="D413" s="16"/>
      <c r="E413" s="16"/>
      <c r="F413" s="17"/>
      <c r="G413" s="15"/>
      <c r="H413" s="16"/>
      <c r="I413" s="17"/>
      <c r="J413" s="12" t="str">
        <f aca="false">IF(H413="","",H413+Summary!$B$4)</f>
        <v/>
      </c>
      <c r="K413" s="17"/>
      <c r="L413" s="16"/>
      <c r="M413" s="13" t="str">
        <f aca="false">IF(I413="","",I413-N(K413))</f>
        <v/>
      </c>
      <c r="N413" s="14" t="str">
        <f aca="true">IF(A413="","",IF(I413="",IF(E413&lt;&gt;"","To invoice","In progress"),IF(M413&lt;=0,"Paid",IF(TODAY()&gt;J413,"Overdue","Awaiting payment"))))</f>
        <v/>
      </c>
    </row>
    <row r="414" customFormat="false" ht="15" hidden="false" customHeight="false" outlineLevel="0" collapsed="false">
      <c r="A414" s="15"/>
      <c r="B414" s="15"/>
      <c r="C414" s="15"/>
      <c r="D414" s="16"/>
      <c r="E414" s="16"/>
      <c r="F414" s="17"/>
      <c r="G414" s="15"/>
      <c r="H414" s="16"/>
      <c r="I414" s="17"/>
      <c r="J414" s="12" t="str">
        <f aca="false">IF(H414="","",H414+Summary!$B$4)</f>
        <v/>
      </c>
      <c r="K414" s="17"/>
      <c r="L414" s="16"/>
      <c r="M414" s="13" t="str">
        <f aca="false">IF(I414="","",I414-N(K414))</f>
        <v/>
      </c>
      <c r="N414" s="14" t="str">
        <f aca="true">IF(A414="","",IF(I414="",IF(E414&lt;&gt;"","To invoice","In progress"),IF(M414&lt;=0,"Paid",IF(TODAY()&gt;J414,"Overdue","Awaiting payment"))))</f>
        <v/>
      </c>
    </row>
    <row r="415" customFormat="false" ht="15" hidden="false" customHeight="false" outlineLevel="0" collapsed="false">
      <c r="A415" s="15"/>
      <c r="B415" s="15"/>
      <c r="C415" s="15"/>
      <c r="D415" s="16"/>
      <c r="E415" s="16"/>
      <c r="F415" s="17"/>
      <c r="G415" s="15"/>
      <c r="H415" s="16"/>
      <c r="I415" s="17"/>
      <c r="J415" s="12" t="str">
        <f aca="false">IF(H415="","",H415+Summary!$B$4)</f>
        <v/>
      </c>
      <c r="K415" s="17"/>
      <c r="L415" s="16"/>
      <c r="M415" s="13" t="str">
        <f aca="false">IF(I415="","",I415-N(K415))</f>
        <v/>
      </c>
      <c r="N415" s="14" t="str">
        <f aca="true">IF(A415="","",IF(I415="",IF(E415&lt;&gt;"","To invoice","In progress"),IF(M415&lt;=0,"Paid",IF(TODAY()&gt;J415,"Overdue","Awaiting payment"))))</f>
        <v/>
      </c>
    </row>
    <row r="416" customFormat="false" ht="15" hidden="false" customHeight="false" outlineLevel="0" collapsed="false">
      <c r="A416" s="15"/>
      <c r="B416" s="15"/>
      <c r="C416" s="15"/>
      <c r="D416" s="16"/>
      <c r="E416" s="16"/>
      <c r="F416" s="17"/>
      <c r="G416" s="15"/>
      <c r="H416" s="16"/>
      <c r="I416" s="17"/>
      <c r="J416" s="12" t="str">
        <f aca="false">IF(H416="","",H416+Summary!$B$4)</f>
        <v/>
      </c>
      <c r="K416" s="17"/>
      <c r="L416" s="16"/>
      <c r="M416" s="13" t="str">
        <f aca="false">IF(I416="","",I416-N(K416))</f>
        <v/>
      </c>
      <c r="N416" s="14" t="str">
        <f aca="true">IF(A416="","",IF(I416="",IF(E416&lt;&gt;"","To invoice","In progress"),IF(M416&lt;=0,"Paid",IF(TODAY()&gt;J416,"Overdue","Awaiting payment"))))</f>
        <v/>
      </c>
    </row>
    <row r="417" customFormat="false" ht="15" hidden="false" customHeight="false" outlineLevel="0" collapsed="false">
      <c r="A417" s="15"/>
      <c r="B417" s="15"/>
      <c r="C417" s="15"/>
      <c r="D417" s="16"/>
      <c r="E417" s="16"/>
      <c r="F417" s="17"/>
      <c r="G417" s="15"/>
      <c r="H417" s="16"/>
      <c r="I417" s="17"/>
      <c r="J417" s="12" t="str">
        <f aca="false">IF(H417="","",H417+Summary!$B$4)</f>
        <v/>
      </c>
      <c r="K417" s="17"/>
      <c r="L417" s="16"/>
      <c r="M417" s="13" t="str">
        <f aca="false">IF(I417="","",I417-N(K417))</f>
        <v/>
      </c>
      <c r="N417" s="14" t="str">
        <f aca="true">IF(A417="","",IF(I417="",IF(E417&lt;&gt;"","To invoice","In progress"),IF(M417&lt;=0,"Paid",IF(TODAY()&gt;J417,"Overdue","Awaiting payment"))))</f>
        <v/>
      </c>
    </row>
    <row r="418" customFormat="false" ht="15" hidden="false" customHeight="false" outlineLevel="0" collapsed="false">
      <c r="A418" s="15"/>
      <c r="B418" s="15"/>
      <c r="C418" s="15"/>
      <c r="D418" s="16"/>
      <c r="E418" s="16"/>
      <c r="F418" s="17"/>
      <c r="G418" s="15"/>
      <c r="H418" s="16"/>
      <c r="I418" s="17"/>
      <c r="J418" s="12" t="str">
        <f aca="false">IF(H418="","",H418+Summary!$B$4)</f>
        <v/>
      </c>
      <c r="K418" s="17"/>
      <c r="L418" s="16"/>
      <c r="M418" s="13" t="str">
        <f aca="false">IF(I418="","",I418-N(K418))</f>
        <v/>
      </c>
      <c r="N418" s="14" t="str">
        <f aca="true">IF(A418="","",IF(I418="",IF(E418&lt;&gt;"","To invoice","In progress"),IF(M418&lt;=0,"Paid",IF(TODAY()&gt;J418,"Overdue","Awaiting payment"))))</f>
        <v/>
      </c>
    </row>
    <row r="419" customFormat="false" ht="15" hidden="false" customHeight="false" outlineLevel="0" collapsed="false">
      <c r="A419" s="15"/>
      <c r="B419" s="15"/>
      <c r="C419" s="15"/>
      <c r="D419" s="16"/>
      <c r="E419" s="16"/>
      <c r="F419" s="17"/>
      <c r="G419" s="15"/>
      <c r="H419" s="16"/>
      <c r="I419" s="17"/>
      <c r="J419" s="12" t="str">
        <f aca="false">IF(H419="","",H419+Summary!$B$4)</f>
        <v/>
      </c>
      <c r="K419" s="17"/>
      <c r="L419" s="16"/>
      <c r="M419" s="13" t="str">
        <f aca="false">IF(I419="","",I419-N(K419))</f>
        <v/>
      </c>
      <c r="N419" s="14" t="str">
        <f aca="true">IF(A419="","",IF(I419="",IF(E419&lt;&gt;"","To invoice","In progress"),IF(M419&lt;=0,"Paid",IF(TODAY()&gt;J419,"Overdue","Awaiting payment"))))</f>
        <v/>
      </c>
    </row>
    <row r="420" customFormat="false" ht="15" hidden="false" customHeight="false" outlineLevel="0" collapsed="false">
      <c r="A420" s="15"/>
      <c r="B420" s="15"/>
      <c r="C420" s="15"/>
      <c r="D420" s="16"/>
      <c r="E420" s="16"/>
      <c r="F420" s="17"/>
      <c r="G420" s="15"/>
      <c r="H420" s="16"/>
      <c r="I420" s="17"/>
      <c r="J420" s="12" t="str">
        <f aca="false">IF(H420="","",H420+Summary!$B$4)</f>
        <v/>
      </c>
      <c r="K420" s="17"/>
      <c r="L420" s="16"/>
      <c r="M420" s="13" t="str">
        <f aca="false">IF(I420="","",I420-N(K420))</f>
        <v/>
      </c>
      <c r="N420" s="14" t="str">
        <f aca="true">IF(A420="","",IF(I420="",IF(E420&lt;&gt;"","To invoice","In progress"),IF(M420&lt;=0,"Paid",IF(TODAY()&gt;J420,"Overdue","Awaiting payment"))))</f>
        <v/>
      </c>
    </row>
    <row r="421" customFormat="false" ht="15" hidden="false" customHeight="false" outlineLevel="0" collapsed="false">
      <c r="A421" s="15"/>
      <c r="B421" s="15"/>
      <c r="C421" s="15"/>
      <c r="D421" s="16"/>
      <c r="E421" s="16"/>
      <c r="F421" s="17"/>
      <c r="G421" s="15"/>
      <c r="H421" s="16"/>
      <c r="I421" s="17"/>
      <c r="J421" s="12" t="str">
        <f aca="false">IF(H421="","",H421+Summary!$B$4)</f>
        <v/>
      </c>
      <c r="K421" s="17"/>
      <c r="L421" s="16"/>
      <c r="M421" s="13" t="str">
        <f aca="false">IF(I421="","",I421-N(K421))</f>
        <v/>
      </c>
      <c r="N421" s="14" t="str">
        <f aca="true">IF(A421="","",IF(I421="",IF(E421&lt;&gt;"","To invoice","In progress"),IF(M421&lt;=0,"Paid",IF(TODAY()&gt;J421,"Overdue","Awaiting payment"))))</f>
        <v/>
      </c>
    </row>
    <row r="422" customFormat="false" ht="15" hidden="false" customHeight="false" outlineLevel="0" collapsed="false">
      <c r="A422" s="15"/>
      <c r="B422" s="15"/>
      <c r="C422" s="15"/>
      <c r="D422" s="16"/>
      <c r="E422" s="16"/>
      <c r="F422" s="17"/>
      <c r="G422" s="15"/>
      <c r="H422" s="16"/>
      <c r="I422" s="17"/>
      <c r="J422" s="12" t="str">
        <f aca="false">IF(H422="","",H422+Summary!$B$4)</f>
        <v/>
      </c>
      <c r="K422" s="17"/>
      <c r="L422" s="16"/>
      <c r="M422" s="13" t="str">
        <f aca="false">IF(I422="","",I422-N(K422))</f>
        <v/>
      </c>
      <c r="N422" s="14" t="str">
        <f aca="true">IF(A422="","",IF(I422="",IF(E422&lt;&gt;"","To invoice","In progress"),IF(M422&lt;=0,"Paid",IF(TODAY()&gt;J422,"Overdue","Awaiting payment"))))</f>
        <v/>
      </c>
    </row>
    <row r="423" customFormat="false" ht="15" hidden="false" customHeight="false" outlineLevel="0" collapsed="false">
      <c r="A423" s="15"/>
      <c r="B423" s="15"/>
      <c r="C423" s="15"/>
      <c r="D423" s="16"/>
      <c r="E423" s="16"/>
      <c r="F423" s="17"/>
      <c r="G423" s="15"/>
      <c r="H423" s="16"/>
      <c r="I423" s="17"/>
      <c r="J423" s="12" t="str">
        <f aca="false">IF(H423="","",H423+Summary!$B$4)</f>
        <v/>
      </c>
      <c r="K423" s="17"/>
      <c r="L423" s="16"/>
      <c r="M423" s="13" t="str">
        <f aca="false">IF(I423="","",I423-N(K423))</f>
        <v/>
      </c>
      <c r="N423" s="14" t="str">
        <f aca="true">IF(A423="","",IF(I423="",IF(E423&lt;&gt;"","To invoice","In progress"),IF(M423&lt;=0,"Paid",IF(TODAY()&gt;J423,"Overdue","Awaiting payment"))))</f>
        <v/>
      </c>
    </row>
    <row r="424" customFormat="false" ht="15" hidden="false" customHeight="false" outlineLevel="0" collapsed="false">
      <c r="A424" s="15"/>
      <c r="B424" s="15"/>
      <c r="C424" s="15"/>
      <c r="D424" s="16"/>
      <c r="E424" s="16"/>
      <c r="F424" s="17"/>
      <c r="G424" s="15"/>
      <c r="H424" s="16"/>
      <c r="I424" s="17"/>
      <c r="J424" s="12" t="str">
        <f aca="false">IF(H424="","",H424+Summary!$B$4)</f>
        <v/>
      </c>
      <c r="K424" s="17"/>
      <c r="L424" s="16"/>
      <c r="M424" s="13" t="str">
        <f aca="false">IF(I424="","",I424-N(K424))</f>
        <v/>
      </c>
      <c r="N424" s="14" t="str">
        <f aca="true">IF(A424="","",IF(I424="",IF(E424&lt;&gt;"","To invoice","In progress"),IF(M424&lt;=0,"Paid",IF(TODAY()&gt;J424,"Overdue","Awaiting payment"))))</f>
        <v/>
      </c>
    </row>
    <row r="425" customFormat="false" ht="15" hidden="false" customHeight="false" outlineLevel="0" collapsed="false">
      <c r="A425" s="15"/>
      <c r="B425" s="15"/>
      <c r="C425" s="15"/>
      <c r="D425" s="16"/>
      <c r="E425" s="16"/>
      <c r="F425" s="17"/>
      <c r="G425" s="15"/>
      <c r="H425" s="16"/>
      <c r="I425" s="17"/>
      <c r="J425" s="12" t="str">
        <f aca="false">IF(H425="","",H425+Summary!$B$4)</f>
        <v/>
      </c>
      <c r="K425" s="17"/>
      <c r="L425" s="16"/>
      <c r="M425" s="13" t="str">
        <f aca="false">IF(I425="","",I425-N(K425))</f>
        <v/>
      </c>
      <c r="N425" s="14" t="str">
        <f aca="true">IF(A425="","",IF(I425="",IF(E425&lt;&gt;"","To invoice","In progress"),IF(M425&lt;=0,"Paid",IF(TODAY()&gt;J425,"Overdue","Awaiting payment"))))</f>
        <v/>
      </c>
    </row>
    <row r="426" customFormat="false" ht="15" hidden="false" customHeight="false" outlineLevel="0" collapsed="false">
      <c r="A426" s="15"/>
      <c r="B426" s="15"/>
      <c r="C426" s="15"/>
      <c r="D426" s="16"/>
      <c r="E426" s="16"/>
      <c r="F426" s="17"/>
      <c r="G426" s="15"/>
      <c r="H426" s="16"/>
      <c r="I426" s="17"/>
      <c r="J426" s="12" t="str">
        <f aca="false">IF(H426="","",H426+Summary!$B$4)</f>
        <v/>
      </c>
      <c r="K426" s="17"/>
      <c r="L426" s="16"/>
      <c r="M426" s="13" t="str">
        <f aca="false">IF(I426="","",I426-N(K426))</f>
        <v/>
      </c>
      <c r="N426" s="14" t="str">
        <f aca="true">IF(A426="","",IF(I426="",IF(E426&lt;&gt;"","To invoice","In progress"),IF(M426&lt;=0,"Paid",IF(TODAY()&gt;J426,"Overdue","Awaiting payment"))))</f>
        <v/>
      </c>
    </row>
    <row r="427" customFormat="false" ht="15" hidden="false" customHeight="false" outlineLevel="0" collapsed="false">
      <c r="A427" s="15"/>
      <c r="B427" s="15"/>
      <c r="C427" s="15"/>
      <c r="D427" s="16"/>
      <c r="E427" s="16"/>
      <c r="F427" s="17"/>
      <c r="G427" s="15"/>
      <c r="H427" s="16"/>
      <c r="I427" s="17"/>
      <c r="J427" s="12" t="str">
        <f aca="false">IF(H427="","",H427+Summary!$B$4)</f>
        <v/>
      </c>
      <c r="K427" s="17"/>
      <c r="L427" s="16"/>
      <c r="M427" s="13" t="str">
        <f aca="false">IF(I427="","",I427-N(K427))</f>
        <v/>
      </c>
      <c r="N427" s="14" t="str">
        <f aca="true">IF(A427="","",IF(I427="",IF(E427&lt;&gt;"","To invoice","In progress"),IF(M427&lt;=0,"Paid",IF(TODAY()&gt;J427,"Overdue","Awaiting payment"))))</f>
        <v/>
      </c>
    </row>
    <row r="428" customFormat="false" ht="15" hidden="false" customHeight="false" outlineLevel="0" collapsed="false">
      <c r="A428" s="15"/>
      <c r="B428" s="15"/>
      <c r="C428" s="15"/>
      <c r="D428" s="16"/>
      <c r="E428" s="16"/>
      <c r="F428" s="17"/>
      <c r="G428" s="15"/>
      <c r="H428" s="16"/>
      <c r="I428" s="17"/>
      <c r="J428" s="12" t="str">
        <f aca="false">IF(H428="","",H428+Summary!$B$4)</f>
        <v/>
      </c>
      <c r="K428" s="17"/>
      <c r="L428" s="16"/>
      <c r="M428" s="13" t="str">
        <f aca="false">IF(I428="","",I428-N(K428))</f>
        <v/>
      </c>
      <c r="N428" s="14" t="str">
        <f aca="true">IF(A428="","",IF(I428="",IF(E428&lt;&gt;"","To invoice","In progress"),IF(M428&lt;=0,"Paid",IF(TODAY()&gt;J428,"Overdue","Awaiting payment"))))</f>
        <v/>
      </c>
    </row>
    <row r="429" customFormat="false" ht="15" hidden="false" customHeight="false" outlineLevel="0" collapsed="false">
      <c r="A429" s="15"/>
      <c r="B429" s="15"/>
      <c r="C429" s="15"/>
      <c r="D429" s="16"/>
      <c r="E429" s="16"/>
      <c r="F429" s="17"/>
      <c r="G429" s="15"/>
      <c r="H429" s="16"/>
      <c r="I429" s="17"/>
      <c r="J429" s="12" t="str">
        <f aca="false">IF(H429="","",H429+Summary!$B$4)</f>
        <v/>
      </c>
      <c r="K429" s="17"/>
      <c r="L429" s="16"/>
      <c r="M429" s="13" t="str">
        <f aca="false">IF(I429="","",I429-N(K429))</f>
        <v/>
      </c>
      <c r="N429" s="14" t="str">
        <f aca="true">IF(A429="","",IF(I429="",IF(E429&lt;&gt;"","To invoice","In progress"),IF(M429&lt;=0,"Paid",IF(TODAY()&gt;J429,"Overdue","Awaiting payment"))))</f>
        <v/>
      </c>
    </row>
    <row r="430" customFormat="false" ht="15" hidden="false" customHeight="false" outlineLevel="0" collapsed="false">
      <c r="A430" s="15"/>
      <c r="B430" s="15"/>
      <c r="C430" s="15"/>
      <c r="D430" s="16"/>
      <c r="E430" s="16"/>
      <c r="F430" s="17"/>
      <c r="G430" s="15"/>
      <c r="H430" s="16"/>
      <c r="I430" s="17"/>
      <c r="J430" s="12" t="str">
        <f aca="false">IF(H430="","",H430+Summary!$B$4)</f>
        <v/>
      </c>
      <c r="K430" s="17"/>
      <c r="L430" s="16"/>
      <c r="M430" s="13" t="str">
        <f aca="false">IF(I430="","",I430-N(K430))</f>
        <v/>
      </c>
      <c r="N430" s="14" t="str">
        <f aca="true">IF(A430="","",IF(I430="",IF(E430&lt;&gt;"","To invoice","In progress"),IF(M430&lt;=0,"Paid",IF(TODAY()&gt;J430,"Overdue","Awaiting payment"))))</f>
        <v/>
      </c>
    </row>
    <row r="431" customFormat="false" ht="15" hidden="false" customHeight="false" outlineLevel="0" collapsed="false">
      <c r="A431" s="15"/>
      <c r="B431" s="15"/>
      <c r="C431" s="15"/>
      <c r="D431" s="16"/>
      <c r="E431" s="16"/>
      <c r="F431" s="17"/>
      <c r="G431" s="15"/>
      <c r="H431" s="16"/>
      <c r="I431" s="17"/>
      <c r="J431" s="12" t="str">
        <f aca="false">IF(H431="","",H431+Summary!$B$4)</f>
        <v/>
      </c>
      <c r="K431" s="17"/>
      <c r="L431" s="16"/>
      <c r="M431" s="13" t="str">
        <f aca="false">IF(I431="","",I431-N(K431))</f>
        <v/>
      </c>
      <c r="N431" s="14" t="str">
        <f aca="true">IF(A431="","",IF(I431="",IF(E431&lt;&gt;"","To invoice","In progress"),IF(M431&lt;=0,"Paid",IF(TODAY()&gt;J431,"Overdue","Awaiting payment"))))</f>
        <v/>
      </c>
    </row>
    <row r="432" customFormat="false" ht="15" hidden="false" customHeight="false" outlineLevel="0" collapsed="false">
      <c r="A432" s="15"/>
      <c r="B432" s="15"/>
      <c r="C432" s="15"/>
      <c r="D432" s="16"/>
      <c r="E432" s="16"/>
      <c r="F432" s="17"/>
      <c r="G432" s="15"/>
      <c r="H432" s="16"/>
      <c r="I432" s="17"/>
      <c r="J432" s="12" t="str">
        <f aca="false">IF(H432="","",H432+Summary!$B$4)</f>
        <v/>
      </c>
      <c r="K432" s="17"/>
      <c r="L432" s="16"/>
      <c r="M432" s="13" t="str">
        <f aca="false">IF(I432="","",I432-N(K432))</f>
        <v/>
      </c>
      <c r="N432" s="14" t="str">
        <f aca="true">IF(A432="","",IF(I432="",IF(E432&lt;&gt;"","To invoice","In progress"),IF(M432&lt;=0,"Paid",IF(TODAY()&gt;J432,"Overdue","Awaiting payment"))))</f>
        <v/>
      </c>
    </row>
    <row r="433" customFormat="false" ht="15" hidden="false" customHeight="false" outlineLevel="0" collapsed="false">
      <c r="A433" s="15"/>
      <c r="B433" s="15"/>
      <c r="C433" s="15"/>
      <c r="D433" s="16"/>
      <c r="E433" s="16"/>
      <c r="F433" s="17"/>
      <c r="G433" s="15"/>
      <c r="H433" s="16"/>
      <c r="I433" s="17"/>
      <c r="J433" s="12" t="str">
        <f aca="false">IF(H433="","",H433+Summary!$B$4)</f>
        <v/>
      </c>
      <c r="K433" s="17"/>
      <c r="L433" s="16"/>
      <c r="M433" s="13" t="str">
        <f aca="false">IF(I433="","",I433-N(K433))</f>
        <v/>
      </c>
      <c r="N433" s="14" t="str">
        <f aca="true">IF(A433="","",IF(I433="",IF(E433&lt;&gt;"","To invoice","In progress"),IF(M433&lt;=0,"Paid",IF(TODAY()&gt;J433,"Overdue","Awaiting payment"))))</f>
        <v/>
      </c>
    </row>
    <row r="434" customFormat="false" ht="15" hidden="false" customHeight="false" outlineLevel="0" collapsed="false">
      <c r="A434" s="15"/>
      <c r="B434" s="15"/>
      <c r="C434" s="15"/>
      <c r="D434" s="16"/>
      <c r="E434" s="16"/>
      <c r="F434" s="17"/>
      <c r="G434" s="15"/>
      <c r="H434" s="16"/>
      <c r="I434" s="17"/>
      <c r="J434" s="12" t="str">
        <f aca="false">IF(H434="","",H434+Summary!$B$4)</f>
        <v/>
      </c>
      <c r="K434" s="17"/>
      <c r="L434" s="16"/>
      <c r="M434" s="13" t="str">
        <f aca="false">IF(I434="","",I434-N(K434))</f>
        <v/>
      </c>
      <c r="N434" s="14" t="str">
        <f aca="true">IF(A434="","",IF(I434="",IF(E434&lt;&gt;"","To invoice","In progress"),IF(M434&lt;=0,"Paid",IF(TODAY()&gt;J434,"Overdue","Awaiting payment"))))</f>
        <v/>
      </c>
    </row>
    <row r="435" customFormat="false" ht="15" hidden="false" customHeight="false" outlineLevel="0" collapsed="false">
      <c r="A435" s="15"/>
      <c r="B435" s="15"/>
      <c r="C435" s="15"/>
      <c r="D435" s="16"/>
      <c r="E435" s="16"/>
      <c r="F435" s="17"/>
      <c r="G435" s="15"/>
      <c r="H435" s="16"/>
      <c r="I435" s="17"/>
      <c r="J435" s="12" t="str">
        <f aca="false">IF(H435="","",H435+Summary!$B$4)</f>
        <v/>
      </c>
      <c r="K435" s="17"/>
      <c r="L435" s="16"/>
      <c r="M435" s="13" t="str">
        <f aca="false">IF(I435="","",I435-N(K435))</f>
        <v/>
      </c>
      <c r="N435" s="14" t="str">
        <f aca="true">IF(A435="","",IF(I435="",IF(E435&lt;&gt;"","To invoice","In progress"),IF(M435&lt;=0,"Paid",IF(TODAY()&gt;J435,"Overdue","Awaiting payment"))))</f>
        <v/>
      </c>
    </row>
    <row r="436" customFormat="false" ht="15" hidden="false" customHeight="false" outlineLevel="0" collapsed="false">
      <c r="A436" s="15"/>
      <c r="B436" s="15"/>
      <c r="C436" s="15"/>
      <c r="D436" s="16"/>
      <c r="E436" s="16"/>
      <c r="F436" s="17"/>
      <c r="G436" s="15"/>
      <c r="H436" s="16"/>
      <c r="I436" s="17"/>
      <c r="J436" s="12" t="str">
        <f aca="false">IF(H436="","",H436+Summary!$B$4)</f>
        <v/>
      </c>
      <c r="K436" s="17"/>
      <c r="L436" s="16"/>
      <c r="M436" s="13" t="str">
        <f aca="false">IF(I436="","",I436-N(K436))</f>
        <v/>
      </c>
      <c r="N436" s="14" t="str">
        <f aca="true">IF(A436="","",IF(I436="",IF(E436&lt;&gt;"","To invoice","In progress"),IF(M436&lt;=0,"Paid",IF(TODAY()&gt;J436,"Overdue","Awaiting payment"))))</f>
        <v/>
      </c>
    </row>
    <row r="437" customFormat="false" ht="15" hidden="false" customHeight="false" outlineLevel="0" collapsed="false">
      <c r="A437" s="15"/>
      <c r="B437" s="15"/>
      <c r="C437" s="15"/>
      <c r="D437" s="16"/>
      <c r="E437" s="16"/>
      <c r="F437" s="17"/>
      <c r="G437" s="15"/>
      <c r="H437" s="16"/>
      <c r="I437" s="17"/>
      <c r="J437" s="12" t="str">
        <f aca="false">IF(H437="","",H437+Summary!$B$4)</f>
        <v/>
      </c>
      <c r="K437" s="17"/>
      <c r="L437" s="16"/>
      <c r="M437" s="13" t="str">
        <f aca="false">IF(I437="","",I437-N(K437))</f>
        <v/>
      </c>
      <c r="N437" s="14" t="str">
        <f aca="true">IF(A437="","",IF(I437="",IF(E437&lt;&gt;"","To invoice","In progress"),IF(M437&lt;=0,"Paid",IF(TODAY()&gt;J437,"Overdue","Awaiting payment"))))</f>
        <v/>
      </c>
    </row>
    <row r="438" customFormat="false" ht="15" hidden="false" customHeight="false" outlineLevel="0" collapsed="false">
      <c r="A438" s="15"/>
      <c r="B438" s="15"/>
      <c r="C438" s="15"/>
      <c r="D438" s="16"/>
      <c r="E438" s="16"/>
      <c r="F438" s="17"/>
      <c r="G438" s="15"/>
      <c r="H438" s="16"/>
      <c r="I438" s="17"/>
      <c r="J438" s="12" t="str">
        <f aca="false">IF(H438="","",H438+Summary!$B$4)</f>
        <v/>
      </c>
      <c r="K438" s="17"/>
      <c r="L438" s="16"/>
      <c r="M438" s="13" t="str">
        <f aca="false">IF(I438="","",I438-N(K438))</f>
        <v/>
      </c>
      <c r="N438" s="14" t="str">
        <f aca="true">IF(A438="","",IF(I438="",IF(E438&lt;&gt;"","To invoice","In progress"),IF(M438&lt;=0,"Paid",IF(TODAY()&gt;J438,"Overdue","Awaiting payment"))))</f>
        <v/>
      </c>
    </row>
    <row r="439" customFormat="false" ht="15" hidden="false" customHeight="false" outlineLevel="0" collapsed="false">
      <c r="A439" s="15"/>
      <c r="B439" s="15"/>
      <c r="C439" s="15"/>
      <c r="D439" s="16"/>
      <c r="E439" s="16"/>
      <c r="F439" s="17"/>
      <c r="G439" s="15"/>
      <c r="H439" s="16"/>
      <c r="I439" s="17"/>
      <c r="J439" s="12" t="str">
        <f aca="false">IF(H439="","",H439+Summary!$B$4)</f>
        <v/>
      </c>
      <c r="K439" s="17"/>
      <c r="L439" s="16"/>
      <c r="M439" s="13" t="str">
        <f aca="false">IF(I439="","",I439-N(K439))</f>
        <v/>
      </c>
      <c r="N439" s="14" t="str">
        <f aca="true">IF(A439="","",IF(I439="",IF(E439&lt;&gt;"","To invoice","In progress"),IF(M439&lt;=0,"Paid",IF(TODAY()&gt;J439,"Overdue","Awaiting payment"))))</f>
        <v/>
      </c>
    </row>
    <row r="440" customFormat="false" ht="15" hidden="false" customHeight="false" outlineLevel="0" collapsed="false">
      <c r="A440" s="15"/>
      <c r="B440" s="15"/>
      <c r="C440" s="15"/>
      <c r="D440" s="16"/>
      <c r="E440" s="16"/>
      <c r="F440" s="17"/>
      <c r="G440" s="15"/>
      <c r="H440" s="16"/>
      <c r="I440" s="17"/>
      <c r="J440" s="12" t="str">
        <f aca="false">IF(H440="","",H440+Summary!$B$4)</f>
        <v/>
      </c>
      <c r="K440" s="17"/>
      <c r="L440" s="16"/>
      <c r="M440" s="13" t="str">
        <f aca="false">IF(I440="","",I440-N(K440))</f>
        <v/>
      </c>
      <c r="N440" s="14" t="str">
        <f aca="true">IF(A440="","",IF(I440="",IF(E440&lt;&gt;"","To invoice","In progress"),IF(M440&lt;=0,"Paid",IF(TODAY()&gt;J440,"Overdue","Awaiting payment"))))</f>
        <v/>
      </c>
    </row>
    <row r="441" customFormat="false" ht="15" hidden="false" customHeight="false" outlineLevel="0" collapsed="false">
      <c r="A441" s="15"/>
      <c r="B441" s="15"/>
      <c r="C441" s="15"/>
      <c r="D441" s="16"/>
      <c r="E441" s="16"/>
      <c r="F441" s="17"/>
      <c r="G441" s="15"/>
      <c r="H441" s="16"/>
      <c r="I441" s="17"/>
      <c r="J441" s="12" t="str">
        <f aca="false">IF(H441="","",H441+Summary!$B$4)</f>
        <v/>
      </c>
      <c r="K441" s="17"/>
      <c r="L441" s="16"/>
      <c r="M441" s="13" t="str">
        <f aca="false">IF(I441="","",I441-N(K441))</f>
        <v/>
      </c>
      <c r="N441" s="14" t="str">
        <f aca="true">IF(A441="","",IF(I441="",IF(E441&lt;&gt;"","To invoice","In progress"),IF(M441&lt;=0,"Paid",IF(TODAY()&gt;J441,"Overdue","Awaiting payment"))))</f>
        <v/>
      </c>
    </row>
    <row r="442" customFormat="false" ht="15" hidden="false" customHeight="false" outlineLevel="0" collapsed="false">
      <c r="A442" s="15"/>
      <c r="B442" s="15"/>
      <c r="C442" s="15"/>
      <c r="D442" s="16"/>
      <c r="E442" s="16"/>
      <c r="F442" s="17"/>
      <c r="G442" s="15"/>
      <c r="H442" s="16"/>
      <c r="I442" s="17"/>
      <c r="J442" s="12" t="str">
        <f aca="false">IF(H442="","",H442+Summary!$B$4)</f>
        <v/>
      </c>
      <c r="K442" s="17"/>
      <c r="L442" s="16"/>
      <c r="M442" s="13" t="str">
        <f aca="false">IF(I442="","",I442-N(K442))</f>
        <v/>
      </c>
      <c r="N442" s="14" t="str">
        <f aca="true">IF(A442="","",IF(I442="",IF(E442&lt;&gt;"","To invoice","In progress"),IF(M442&lt;=0,"Paid",IF(TODAY()&gt;J442,"Overdue","Awaiting payment"))))</f>
        <v/>
      </c>
    </row>
    <row r="443" customFormat="false" ht="15" hidden="false" customHeight="false" outlineLevel="0" collapsed="false">
      <c r="A443" s="15"/>
      <c r="B443" s="15"/>
      <c r="C443" s="15"/>
      <c r="D443" s="16"/>
      <c r="E443" s="16"/>
      <c r="F443" s="17"/>
      <c r="G443" s="15"/>
      <c r="H443" s="16"/>
      <c r="I443" s="17"/>
      <c r="J443" s="12" t="str">
        <f aca="false">IF(H443="","",H443+Summary!$B$4)</f>
        <v/>
      </c>
      <c r="K443" s="17"/>
      <c r="L443" s="16"/>
      <c r="M443" s="13" t="str">
        <f aca="false">IF(I443="","",I443-N(K443))</f>
        <v/>
      </c>
      <c r="N443" s="14" t="str">
        <f aca="true">IF(A443="","",IF(I443="",IF(E443&lt;&gt;"","To invoice","In progress"),IF(M443&lt;=0,"Paid",IF(TODAY()&gt;J443,"Overdue","Awaiting payment"))))</f>
        <v/>
      </c>
    </row>
    <row r="444" customFormat="false" ht="15" hidden="false" customHeight="false" outlineLevel="0" collapsed="false">
      <c r="A444" s="15"/>
      <c r="B444" s="15"/>
      <c r="C444" s="15"/>
      <c r="D444" s="16"/>
      <c r="E444" s="16"/>
      <c r="F444" s="17"/>
      <c r="G444" s="15"/>
      <c r="H444" s="16"/>
      <c r="I444" s="17"/>
      <c r="J444" s="12" t="str">
        <f aca="false">IF(H444="","",H444+Summary!$B$4)</f>
        <v/>
      </c>
      <c r="K444" s="17"/>
      <c r="L444" s="16"/>
      <c r="M444" s="13" t="str">
        <f aca="false">IF(I444="","",I444-N(K444))</f>
        <v/>
      </c>
      <c r="N444" s="14" t="str">
        <f aca="true">IF(A444="","",IF(I444="",IF(E444&lt;&gt;"","To invoice","In progress"),IF(M444&lt;=0,"Paid",IF(TODAY()&gt;J444,"Overdue","Awaiting payment"))))</f>
        <v/>
      </c>
    </row>
    <row r="445" customFormat="false" ht="15" hidden="false" customHeight="false" outlineLevel="0" collapsed="false">
      <c r="A445" s="15"/>
      <c r="B445" s="15"/>
      <c r="C445" s="15"/>
      <c r="D445" s="16"/>
      <c r="E445" s="16"/>
      <c r="F445" s="17"/>
      <c r="G445" s="15"/>
      <c r="H445" s="16"/>
      <c r="I445" s="17"/>
      <c r="J445" s="12" t="str">
        <f aca="false">IF(H445="","",H445+Summary!$B$4)</f>
        <v/>
      </c>
      <c r="K445" s="17"/>
      <c r="L445" s="16"/>
      <c r="M445" s="13" t="str">
        <f aca="false">IF(I445="","",I445-N(K445))</f>
        <v/>
      </c>
      <c r="N445" s="14" t="str">
        <f aca="true">IF(A445="","",IF(I445="",IF(E445&lt;&gt;"","To invoice","In progress"),IF(M445&lt;=0,"Paid",IF(TODAY()&gt;J445,"Overdue","Awaiting payment"))))</f>
        <v/>
      </c>
    </row>
    <row r="446" customFormat="false" ht="15" hidden="false" customHeight="false" outlineLevel="0" collapsed="false">
      <c r="A446" s="15"/>
      <c r="B446" s="15"/>
      <c r="C446" s="15"/>
      <c r="D446" s="16"/>
      <c r="E446" s="16"/>
      <c r="F446" s="17"/>
      <c r="G446" s="15"/>
      <c r="H446" s="16"/>
      <c r="I446" s="17"/>
      <c r="J446" s="12" t="str">
        <f aca="false">IF(H446="","",H446+Summary!$B$4)</f>
        <v/>
      </c>
      <c r="K446" s="17"/>
      <c r="L446" s="16"/>
      <c r="M446" s="13" t="str">
        <f aca="false">IF(I446="","",I446-N(K446))</f>
        <v/>
      </c>
      <c r="N446" s="14" t="str">
        <f aca="true">IF(A446="","",IF(I446="",IF(E446&lt;&gt;"","To invoice","In progress"),IF(M446&lt;=0,"Paid",IF(TODAY()&gt;J446,"Overdue","Awaiting payment"))))</f>
        <v/>
      </c>
    </row>
    <row r="447" customFormat="false" ht="15" hidden="false" customHeight="false" outlineLevel="0" collapsed="false">
      <c r="A447" s="15"/>
      <c r="B447" s="15"/>
      <c r="C447" s="15"/>
      <c r="D447" s="16"/>
      <c r="E447" s="16"/>
      <c r="F447" s="17"/>
      <c r="G447" s="15"/>
      <c r="H447" s="16"/>
      <c r="I447" s="17"/>
      <c r="J447" s="12" t="str">
        <f aca="false">IF(H447="","",H447+Summary!$B$4)</f>
        <v/>
      </c>
      <c r="K447" s="17"/>
      <c r="L447" s="16"/>
      <c r="M447" s="13" t="str">
        <f aca="false">IF(I447="","",I447-N(K447))</f>
        <v/>
      </c>
      <c r="N447" s="14" t="str">
        <f aca="true">IF(A447="","",IF(I447="",IF(E447&lt;&gt;"","To invoice","In progress"),IF(M447&lt;=0,"Paid",IF(TODAY()&gt;J447,"Overdue","Awaiting payment"))))</f>
        <v/>
      </c>
    </row>
    <row r="448" customFormat="false" ht="15" hidden="false" customHeight="false" outlineLevel="0" collapsed="false">
      <c r="A448" s="15"/>
      <c r="B448" s="15"/>
      <c r="C448" s="15"/>
      <c r="D448" s="16"/>
      <c r="E448" s="16"/>
      <c r="F448" s="17"/>
      <c r="G448" s="15"/>
      <c r="H448" s="16"/>
      <c r="I448" s="17"/>
      <c r="J448" s="12" t="str">
        <f aca="false">IF(H448="","",H448+Summary!$B$4)</f>
        <v/>
      </c>
      <c r="K448" s="17"/>
      <c r="L448" s="16"/>
      <c r="M448" s="13" t="str">
        <f aca="false">IF(I448="","",I448-N(K448))</f>
        <v/>
      </c>
      <c r="N448" s="14" t="str">
        <f aca="true">IF(A448="","",IF(I448="",IF(E448&lt;&gt;"","To invoice","In progress"),IF(M448&lt;=0,"Paid",IF(TODAY()&gt;J448,"Overdue","Awaiting payment"))))</f>
        <v/>
      </c>
    </row>
    <row r="449" customFormat="false" ht="15" hidden="false" customHeight="false" outlineLevel="0" collapsed="false">
      <c r="A449" s="15"/>
      <c r="B449" s="15"/>
      <c r="C449" s="15"/>
      <c r="D449" s="16"/>
      <c r="E449" s="16"/>
      <c r="F449" s="17"/>
      <c r="G449" s="15"/>
      <c r="H449" s="16"/>
      <c r="I449" s="17"/>
      <c r="J449" s="12" t="str">
        <f aca="false">IF(H449="","",H449+Summary!$B$4)</f>
        <v/>
      </c>
      <c r="K449" s="17"/>
      <c r="L449" s="16"/>
      <c r="M449" s="13" t="str">
        <f aca="false">IF(I449="","",I449-N(K449))</f>
        <v/>
      </c>
      <c r="N449" s="14" t="str">
        <f aca="true">IF(A449="","",IF(I449="",IF(E449&lt;&gt;"","To invoice","In progress"),IF(M449&lt;=0,"Paid",IF(TODAY()&gt;J449,"Overdue","Awaiting payment"))))</f>
        <v/>
      </c>
    </row>
    <row r="450" customFormat="false" ht="15" hidden="false" customHeight="false" outlineLevel="0" collapsed="false">
      <c r="A450" s="15"/>
      <c r="B450" s="15"/>
      <c r="C450" s="15"/>
      <c r="D450" s="16"/>
      <c r="E450" s="16"/>
      <c r="F450" s="17"/>
      <c r="G450" s="15"/>
      <c r="H450" s="16"/>
      <c r="I450" s="17"/>
      <c r="J450" s="12" t="str">
        <f aca="false">IF(H450="","",H450+Summary!$B$4)</f>
        <v/>
      </c>
      <c r="K450" s="17"/>
      <c r="L450" s="16"/>
      <c r="M450" s="13" t="str">
        <f aca="false">IF(I450="","",I450-N(K450))</f>
        <v/>
      </c>
      <c r="N450" s="14" t="str">
        <f aca="true">IF(A450="","",IF(I450="",IF(E450&lt;&gt;"","To invoice","In progress"),IF(M450&lt;=0,"Paid",IF(TODAY()&gt;J450,"Overdue","Awaiting payment"))))</f>
        <v/>
      </c>
    </row>
    <row r="451" customFormat="false" ht="15" hidden="false" customHeight="false" outlineLevel="0" collapsed="false">
      <c r="A451" s="15"/>
      <c r="B451" s="15"/>
      <c r="C451" s="15"/>
      <c r="D451" s="16"/>
      <c r="E451" s="16"/>
      <c r="F451" s="17"/>
      <c r="G451" s="15"/>
      <c r="H451" s="16"/>
      <c r="I451" s="17"/>
      <c r="J451" s="12" t="str">
        <f aca="false">IF(H451="","",H451+Summary!$B$4)</f>
        <v/>
      </c>
      <c r="K451" s="17"/>
      <c r="L451" s="16"/>
      <c r="M451" s="13" t="str">
        <f aca="false">IF(I451="","",I451-N(K451))</f>
        <v/>
      </c>
      <c r="N451" s="14" t="str">
        <f aca="true">IF(A451="","",IF(I451="",IF(E451&lt;&gt;"","To invoice","In progress"),IF(M451&lt;=0,"Paid",IF(TODAY()&gt;J451,"Overdue","Awaiting payment"))))</f>
        <v/>
      </c>
    </row>
    <row r="452" customFormat="false" ht="15" hidden="false" customHeight="false" outlineLevel="0" collapsed="false">
      <c r="A452" s="15"/>
      <c r="B452" s="15"/>
      <c r="C452" s="15"/>
      <c r="D452" s="16"/>
      <c r="E452" s="16"/>
      <c r="F452" s="17"/>
      <c r="G452" s="15"/>
      <c r="H452" s="16"/>
      <c r="I452" s="17"/>
      <c r="J452" s="12" t="str">
        <f aca="false">IF(H452="","",H452+Summary!$B$4)</f>
        <v/>
      </c>
      <c r="K452" s="17"/>
      <c r="L452" s="16"/>
      <c r="M452" s="13" t="str">
        <f aca="false">IF(I452="","",I452-N(K452))</f>
        <v/>
      </c>
      <c r="N452" s="14" t="str">
        <f aca="true">IF(A452="","",IF(I452="",IF(E452&lt;&gt;"","To invoice","In progress"),IF(M452&lt;=0,"Paid",IF(TODAY()&gt;J452,"Overdue","Awaiting payment"))))</f>
        <v/>
      </c>
    </row>
    <row r="453" customFormat="false" ht="15" hidden="false" customHeight="false" outlineLevel="0" collapsed="false">
      <c r="A453" s="15"/>
      <c r="B453" s="15"/>
      <c r="C453" s="15"/>
      <c r="D453" s="16"/>
      <c r="E453" s="16"/>
      <c r="F453" s="17"/>
      <c r="G453" s="15"/>
      <c r="H453" s="16"/>
      <c r="I453" s="17"/>
      <c r="J453" s="12" t="str">
        <f aca="false">IF(H453="","",H453+Summary!$B$4)</f>
        <v/>
      </c>
      <c r="K453" s="17"/>
      <c r="L453" s="16"/>
      <c r="M453" s="13" t="str">
        <f aca="false">IF(I453="","",I453-N(K453))</f>
        <v/>
      </c>
      <c r="N453" s="14" t="str">
        <f aca="true">IF(A453="","",IF(I453="",IF(E453&lt;&gt;"","To invoice","In progress"),IF(M453&lt;=0,"Paid",IF(TODAY()&gt;J453,"Overdue","Awaiting payment"))))</f>
        <v/>
      </c>
    </row>
    <row r="454" customFormat="false" ht="15" hidden="false" customHeight="false" outlineLevel="0" collapsed="false">
      <c r="A454" s="15"/>
      <c r="B454" s="15"/>
      <c r="C454" s="15"/>
      <c r="D454" s="16"/>
      <c r="E454" s="16"/>
      <c r="F454" s="17"/>
      <c r="G454" s="15"/>
      <c r="H454" s="16"/>
      <c r="I454" s="17"/>
      <c r="J454" s="12" t="str">
        <f aca="false">IF(H454="","",H454+Summary!$B$4)</f>
        <v/>
      </c>
      <c r="K454" s="17"/>
      <c r="L454" s="16"/>
      <c r="M454" s="13" t="str">
        <f aca="false">IF(I454="","",I454-N(K454))</f>
        <v/>
      </c>
      <c r="N454" s="14" t="str">
        <f aca="true">IF(A454="","",IF(I454="",IF(E454&lt;&gt;"","To invoice","In progress"),IF(M454&lt;=0,"Paid",IF(TODAY()&gt;J454,"Overdue","Awaiting payment"))))</f>
        <v/>
      </c>
    </row>
    <row r="455" customFormat="false" ht="15" hidden="false" customHeight="false" outlineLevel="0" collapsed="false">
      <c r="A455" s="15"/>
      <c r="B455" s="15"/>
      <c r="C455" s="15"/>
      <c r="D455" s="16"/>
      <c r="E455" s="16"/>
      <c r="F455" s="17"/>
      <c r="G455" s="15"/>
      <c r="H455" s="16"/>
      <c r="I455" s="17"/>
      <c r="J455" s="12" t="str">
        <f aca="false">IF(H455="","",H455+Summary!$B$4)</f>
        <v/>
      </c>
      <c r="K455" s="17"/>
      <c r="L455" s="16"/>
      <c r="M455" s="13" t="str">
        <f aca="false">IF(I455="","",I455-N(K455))</f>
        <v/>
      </c>
      <c r="N455" s="14" t="str">
        <f aca="true">IF(A455="","",IF(I455="",IF(E455&lt;&gt;"","To invoice","In progress"),IF(M455&lt;=0,"Paid",IF(TODAY()&gt;J455,"Overdue","Awaiting payment"))))</f>
        <v/>
      </c>
    </row>
    <row r="456" customFormat="false" ht="15" hidden="false" customHeight="false" outlineLevel="0" collapsed="false">
      <c r="A456" s="15"/>
      <c r="B456" s="15"/>
      <c r="C456" s="15"/>
      <c r="D456" s="16"/>
      <c r="E456" s="16"/>
      <c r="F456" s="17"/>
      <c r="G456" s="15"/>
      <c r="H456" s="16"/>
      <c r="I456" s="17"/>
      <c r="J456" s="12" t="str">
        <f aca="false">IF(H456="","",H456+Summary!$B$4)</f>
        <v/>
      </c>
      <c r="K456" s="17"/>
      <c r="L456" s="16"/>
      <c r="M456" s="13" t="str">
        <f aca="false">IF(I456="","",I456-N(K456))</f>
        <v/>
      </c>
      <c r="N456" s="14" t="str">
        <f aca="true">IF(A456="","",IF(I456="",IF(E456&lt;&gt;"","To invoice","In progress"),IF(M456&lt;=0,"Paid",IF(TODAY()&gt;J456,"Overdue","Awaiting payment"))))</f>
        <v/>
      </c>
    </row>
    <row r="457" customFormat="false" ht="15" hidden="false" customHeight="false" outlineLevel="0" collapsed="false">
      <c r="A457" s="15"/>
      <c r="B457" s="15"/>
      <c r="C457" s="15"/>
      <c r="D457" s="16"/>
      <c r="E457" s="16"/>
      <c r="F457" s="17"/>
      <c r="G457" s="15"/>
      <c r="H457" s="16"/>
      <c r="I457" s="17"/>
      <c r="J457" s="12" t="str">
        <f aca="false">IF(H457="","",H457+Summary!$B$4)</f>
        <v/>
      </c>
      <c r="K457" s="17"/>
      <c r="L457" s="16"/>
      <c r="M457" s="13" t="str">
        <f aca="false">IF(I457="","",I457-N(K457))</f>
        <v/>
      </c>
      <c r="N457" s="14" t="str">
        <f aca="true">IF(A457="","",IF(I457="",IF(E457&lt;&gt;"","To invoice","In progress"),IF(M457&lt;=0,"Paid",IF(TODAY()&gt;J457,"Overdue","Awaiting payment"))))</f>
        <v/>
      </c>
    </row>
    <row r="458" customFormat="false" ht="15" hidden="false" customHeight="false" outlineLevel="0" collapsed="false">
      <c r="A458" s="15"/>
      <c r="B458" s="15"/>
      <c r="C458" s="15"/>
      <c r="D458" s="16"/>
      <c r="E458" s="16"/>
      <c r="F458" s="17"/>
      <c r="G458" s="15"/>
      <c r="H458" s="16"/>
      <c r="I458" s="17"/>
      <c r="J458" s="12" t="str">
        <f aca="false">IF(H458="","",H458+Summary!$B$4)</f>
        <v/>
      </c>
      <c r="K458" s="17"/>
      <c r="L458" s="16"/>
      <c r="M458" s="13" t="str">
        <f aca="false">IF(I458="","",I458-N(K458))</f>
        <v/>
      </c>
      <c r="N458" s="14" t="str">
        <f aca="true">IF(A458="","",IF(I458="",IF(E458&lt;&gt;"","To invoice","In progress"),IF(M458&lt;=0,"Paid",IF(TODAY()&gt;J458,"Overdue","Awaiting payment"))))</f>
        <v/>
      </c>
    </row>
    <row r="459" customFormat="false" ht="15" hidden="false" customHeight="false" outlineLevel="0" collapsed="false">
      <c r="A459" s="15"/>
      <c r="B459" s="15"/>
      <c r="C459" s="15"/>
      <c r="D459" s="16"/>
      <c r="E459" s="16"/>
      <c r="F459" s="17"/>
      <c r="G459" s="15"/>
      <c r="H459" s="16"/>
      <c r="I459" s="17"/>
      <c r="J459" s="12" t="str">
        <f aca="false">IF(H459="","",H459+Summary!$B$4)</f>
        <v/>
      </c>
      <c r="K459" s="17"/>
      <c r="L459" s="16"/>
      <c r="M459" s="13" t="str">
        <f aca="false">IF(I459="","",I459-N(K459))</f>
        <v/>
      </c>
      <c r="N459" s="14" t="str">
        <f aca="true">IF(A459="","",IF(I459="",IF(E459&lt;&gt;"","To invoice","In progress"),IF(M459&lt;=0,"Paid",IF(TODAY()&gt;J459,"Overdue","Awaiting payment"))))</f>
        <v/>
      </c>
    </row>
    <row r="460" customFormat="false" ht="15" hidden="false" customHeight="false" outlineLevel="0" collapsed="false">
      <c r="A460" s="15"/>
      <c r="B460" s="15"/>
      <c r="C460" s="15"/>
      <c r="D460" s="16"/>
      <c r="E460" s="16"/>
      <c r="F460" s="17"/>
      <c r="G460" s="15"/>
      <c r="H460" s="16"/>
      <c r="I460" s="17"/>
      <c r="J460" s="12" t="str">
        <f aca="false">IF(H460="","",H460+Summary!$B$4)</f>
        <v/>
      </c>
      <c r="K460" s="17"/>
      <c r="L460" s="16"/>
      <c r="M460" s="13" t="str">
        <f aca="false">IF(I460="","",I460-N(K460))</f>
        <v/>
      </c>
      <c r="N460" s="14" t="str">
        <f aca="true">IF(A460="","",IF(I460="",IF(E460&lt;&gt;"","To invoice","In progress"),IF(M460&lt;=0,"Paid",IF(TODAY()&gt;J460,"Overdue","Awaiting payment"))))</f>
        <v/>
      </c>
    </row>
    <row r="461" customFormat="false" ht="15" hidden="false" customHeight="false" outlineLevel="0" collapsed="false">
      <c r="A461" s="15"/>
      <c r="B461" s="15"/>
      <c r="C461" s="15"/>
      <c r="D461" s="16"/>
      <c r="E461" s="16"/>
      <c r="F461" s="17"/>
      <c r="G461" s="15"/>
      <c r="H461" s="16"/>
      <c r="I461" s="17"/>
      <c r="J461" s="12" t="str">
        <f aca="false">IF(H461="","",H461+Summary!$B$4)</f>
        <v/>
      </c>
      <c r="K461" s="17"/>
      <c r="L461" s="16"/>
      <c r="M461" s="13" t="str">
        <f aca="false">IF(I461="","",I461-N(K461))</f>
        <v/>
      </c>
      <c r="N461" s="14" t="str">
        <f aca="true">IF(A461="","",IF(I461="",IF(E461&lt;&gt;"","To invoice","In progress"),IF(M461&lt;=0,"Paid",IF(TODAY()&gt;J461,"Overdue","Awaiting payment"))))</f>
        <v/>
      </c>
    </row>
    <row r="462" customFormat="false" ht="15" hidden="false" customHeight="false" outlineLevel="0" collapsed="false">
      <c r="A462" s="15"/>
      <c r="B462" s="15"/>
      <c r="C462" s="15"/>
      <c r="D462" s="16"/>
      <c r="E462" s="16"/>
      <c r="F462" s="17"/>
      <c r="G462" s="15"/>
      <c r="H462" s="16"/>
      <c r="I462" s="17"/>
      <c r="J462" s="12" t="str">
        <f aca="false">IF(H462="","",H462+Summary!$B$4)</f>
        <v/>
      </c>
      <c r="K462" s="17"/>
      <c r="L462" s="16"/>
      <c r="M462" s="13" t="str">
        <f aca="false">IF(I462="","",I462-N(K462))</f>
        <v/>
      </c>
      <c r="N462" s="14" t="str">
        <f aca="true">IF(A462="","",IF(I462="",IF(E462&lt;&gt;"","To invoice","In progress"),IF(M462&lt;=0,"Paid",IF(TODAY()&gt;J462,"Overdue","Awaiting payment"))))</f>
        <v/>
      </c>
    </row>
    <row r="463" customFormat="false" ht="15" hidden="false" customHeight="false" outlineLevel="0" collapsed="false">
      <c r="A463" s="15"/>
      <c r="B463" s="15"/>
      <c r="C463" s="15"/>
      <c r="D463" s="16"/>
      <c r="E463" s="16"/>
      <c r="F463" s="17"/>
      <c r="G463" s="15"/>
      <c r="H463" s="16"/>
      <c r="I463" s="17"/>
      <c r="J463" s="12" t="str">
        <f aca="false">IF(H463="","",H463+Summary!$B$4)</f>
        <v/>
      </c>
      <c r="K463" s="17"/>
      <c r="L463" s="16"/>
      <c r="M463" s="13" t="str">
        <f aca="false">IF(I463="","",I463-N(K463))</f>
        <v/>
      </c>
      <c r="N463" s="14" t="str">
        <f aca="true">IF(A463="","",IF(I463="",IF(E463&lt;&gt;"","To invoice","In progress"),IF(M463&lt;=0,"Paid",IF(TODAY()&gt;J463,"Overdue","Awaiting payment"))))</f>
        <v/>
      </c>
    </row>
    <row r="464" customFormat="false" ht="15" hidden="false" customHeight="false" outlineLevel="0" collapsed="false">
      <c r="A464" s="15"/>
      <c r="B464" s="15"/>
      <c r="C464" s="15"/>
      <c r="D464" s="16"/>
      <c r="E464" s="16"/>
      <c r="F464" s="17"/>
      <c r="G464" s="15"/>
      <c r="H464" s="16"/>
      <c r="I464" s="17"/>
      <c r="J464" s="12" t="str">
        <f aca="false">IF(H464="","",H464+Summary!$B$4)</f>
        <v/>
      </c>
      <c r="K464" s="17"/>
      <c r="L464" s="16"/>
      <c r="M464" s="13" t="str">
        <f aca="false">IF(I464="","",I464-N(K464))</f>
        <v/>
      </c>
      <c r="N464" s="14" t="str">
        <f aca="true">IF(A464="","",IF(I464="",IF(E464&lt;&gt;"","To invoice","In progress"),IF(M464&lt;=0,"Paid",IF(TODAY()&gt;J464,"Overdue","Awaiting payment"))))</f>
        <v/>
      </c>
    </row>
    <row r="465" customFormat="false" ht="15" hidden="false" customHeight="false" outlineLevel="0" collapsed="false">
      <c r="A465" s="15"/>
      <c r="B465" s="15"/>
      <c r="C465" s="15"/>
      <c r="D465" s="16"/>
      <c r="E465" s="16"/>
      <c r="F465" s="17"/>
      <c r="G465" s="15"/>
      <c r="H465" s="16"/>
      <c r="I465" s="17"/>
      <c r="J465" s="12" t="str">
        <f aca="false">IF(H465="","",H465+Summary!$B$4)</f>
        <v/>
      </c>
      <c r="K465" s="17"/>
      <c r="L465" s="16"/>
      <c r="M465" s="13" t="str">
        <f aca="false">IF(I465="","",I465-N(K465))</f>
        <v/>
      </c>
      <c r="N465" s="14" t="str">
        <f aca="true">IF(A465="","",IF(I465="",IF(E465&lt;&gt;"","To invoice","In progress"),IF(M465&lt;=0,"Paid",IF(TODAY()&gt;J465,"Overdue","Awaiting payment"))))</f>
        <v/>
      </c>
    </row>
    <row r="466" customFormat="false" ht="15" hidden="false" customHeight="false" outlineLevel="0" collapsed="false">
      <c r="A466" s="15"/>
      <c r="B466" s="15"/>
      <c r="C466" s="15"/>
      <c r="D466" s="16"/>
      <c r="E466" s="16"/>
      <c r="F466" s="17"/>
      <c r="G466" s="15"/>
      <c r="H466" s="16"/>
      <c r="I466" s="17"/>
      <c r="J466" s="12" t="str">
        <f aca="false">IF(H466="","",H466+Summary!$B$4)</f>
        <v/>
      </c>
      <c r="K466" s="17"/>
      <c r="L466" s="16"/>
      <c r="M466" s="13" t="str">
        <f aca="false">IF(I466="","",I466-N(K466))</f>
        <v/>
      </c>
      <c r="N466" s="14" t="str">
        <f aca="true">IF(A466="","",IF(I466="",IF(E466&lt;&gt;"","To invoice","In progress"),IF(M466&lt;=0,"Paid",IF(TODAY()&gt;J466,"Overdue","Awaiting payment"))))</f>
        <v/>
      </c>
    </row>
    <row r="467" customFormat="false" ht="15" hidden="false" customHeight="false" outlineLevel="0" collapsed="false">
      <c r="A467" s="15"/>
      <c r="B467" s="15"/>
      <c r="C467" s="15"/>
      <c r="D467" s="16"/>
      <c r="E467" s="16"/>
      <c r="F467" s="17"/>
      <c r="G467" s="15"/>
      <c r="H467" s="16"/>
      <c r="I467" s="17"/>
      <c r="J467" s="12" t="str">
        <f aca="false">IF(H467="","",H467+Summary!$B$4)</f>
        <v/>
      </c>
      <c r="K467" s="17"/>
      <c r="L467" s="16"/>
      <c r="M467" s="13" t="str">
        <f aca="false">IF(I467="","",I467-N(K467))</f>
        <v/>
      </c>
      <c r="N467" s="14" t="str">
        <f aca="true">IF(A467="","",IF(I467="",IF(E467&lt;&gt;"","To invoice","In progress"),IF(M467&lt;=0,"Paid",IF(TODAY()&gt;J467,"Overdue","Awaiting payment"))))</f>
        <v/>
      </c>
    </row>
    <row r="468" customFormat="false" ht="15" hidden="false" customHeight="false" outlineLevel="0" collapsed="false">
      <c r="A468" s="15"/>
      <c r="B468" s="15"/>
      <c r="C468" s="15"/>
      <c r="D468" s="16"/>
      <c r="E468" s="16"/>
      <c r="F468" s="17"/>
      <c r="G468" s="15"/>
      <c r="H468" s="16"/>
      <c r="I468" s="17"/>
      <c r="J468" s="12" t="str">
        <f aca="false">IF(H468="","",H468+Summary!$B$4)</f>
        <v/>
      </c>
      <c r="K468" s="17"/>
      <c r="L468" s="16"/>
      <c r="M468" s="13" t="str">
        <f aca="false">IF(I468="","",I468-N(K468))</f>
        <v/>
      </c>
      <c r="N468" s="14" t="str">
        <f aca="true">IF(A468="","",IF(I468="",IF(E468&lt;&gt;"","To invoice","In progress"),IF(M468&lt;=0,"Paid",IF(TODAY()&gt;J468,"Overdue","Awaiting payment"))))</f>
        <v/>
      </c>
    </row>
    <row r="469" customFormat="false" ht="15" hidden="false" customHeight="false" outlineLevel="0" collapsed="false">
      <c r="A469" s="15"/>
      <c r="B469" s="15"/>
      <c r="C469" s="15"/>
      <c r="D469" s="16"/>
      <c r="E469" s="16"/>
      <c r="F469" s="17"/>
      <c r="G469" s="15"/>
      <c r="H469" s="16"/>
      <c r="I469" s="17"/>
      <c r="J469" s="12" t="str">
        <f aca="false">IF(H469="","",H469+Summary!$B$4)</f>
        <v/>
      </c>
      <c r="K469" s="17"/>
      <c r="L469" s="16"/>
      <c r="M469" s="13" t="str">
        <f aca="false">IF(I469="","",I469-N(K469))</f>
        <v/>
      </c>
      <c r="N469" s="14" t="str">
        <f aca="true">IF(A469="","",IF(I469="",IF(E469&lt;&gt;"","To invoice","In progress"),IF(M469&lt;=0,"Paid",IF(TODAY()&gt;J469,"Overdue","Awaiting payment"))))</f>
        <v/>
      </c>
    </row>
    <row r="470" customFormat="false" ht="15" hidden="false" customHeight="false" outlineLevel="0" collapsed="false">
      <c r="A470" s="15"/>
      <c r="B470" s="15"/>
      <c r="C470" s="15"/>
      <c r="D470" s="16"/>
      <c r="E470" s="16"/>
      <c r="F470" s="17"/>
      <c r="G470" s="15"/>
      <c r="H470" s="16"/>
      <c r="I470" s="17"/>
      <c r="J470" s="12" t="str">
        <f aca="false">IF(H470="","",H470+Summary!$B$4)</f>
        <v/>
      </c>
      <c r="K470" s="17"/>
      <c r="L470" s="16"/>
      <c r="M470" s="13" t="str">
        <f aca="false">IF(I470="","",I470-N(K470))</f>
        <v/>
      </c>
      <c r="N470" s="14" t="str">
        <f aca="true">IF(A470="","",IF(I470="",IF(E470&lt;&gt;"","To invoice","In progress"),IF(M470&lt;=0,"Paid",IF(TODAY()&gt;J470,"Overdue","Awaiting payment"))))</f>
        <v/>
      </c>
    </row>
    <row r="471" customFormat="false" ht="15" hidden="false" customHeight="false" outlineLevel="0" collapsed="false">
      <c r="A471" s="15"/>
      <c r="B471" s="15"/>
      <c r="C471" s="15"/>
      <c r="D471" s="16"/>
      <c r="E471" s="16"/>
      <c r="F471" s="17"/>
      <c r="G471" s="15"/>
      <c r="H471" s="16"/>
      <c r="I471" s="17"/>
      <c r="J471" s="12" t="str">
        <f aca="false">IF(H471="","",H471+Summary!$B$4)</f>
        <v/>
      </c>
      <c r="K471" s="17"/>
      <c r="L471" s="16"/>
      <c r="M471" s="13" t="str">
        <f aca="false">IF(I471="","",I471-N(K471))</f>
        <v/>
      </c>
      <c r="N471" s="14" t="str">
        <f aca="true">IF(A471="","",IF(I471="",IF(E471&lt;&gt;"","To invoice","In progress"),IF(M471&lt;=0,"Paid",IF(TODAY()&gt;J471,"Overdue","Awaiting payment"))))</f>
        <v/>
      </c>
    </row>
    <row r="472" customFormat="false" ht="15" hidden="false" customHeight="false" outlineLevel="0" collapsed="false">
      <c r="A472" s="15"/>
      <c r="B472" s="15"/>
      <c r="C472" s="15"/>
      <c r="D472" s="16"/>
      <c r="E472" s="16"/>
      <c r="F472" s="17"/>
      <c r="G472" s="15"/>
      <c r="H472" s="16"/>
      <c r="I472" s="17"/>
      <c r="J472" s="12" t="str">
        <f aca="false">IF(H472="","",H472+Summary!$B$4)</f>
        <v/>
      </c>
      <c r="K472" s="17"/>
      <c r="L472" s="16"/>
      <c r="M472" s="13" t="str">
        <f aca="false">IF(I472="","",I472-N(K472))</f>
        <v/>
      </c>
      <c r="N472" s="14" t="str">
        <f aca="true">IF(A472="","",IF(I472="",IF(E472&lt;&gt;"","To invoice","In progress"),IF(M472&lt;=0,"Paid",IF(TODAY()&gt;J472,"Overdue","Awaiting payment"))))</f>
        <v/>
      </c>
    </row>
    <row r="473" customFormat="false" ht="15" hidden="false" customHeight="false" outlineLevel="0" collapsed="false">
      <c r="A473" s="15"/>
      <c r="B473" s="15"/>
      <c r="C473" s="15"/>
      <c r="D473" s="16"/>
      <c r="E473" s="16"/>
      <c r="F473" s="17"/>
      <c r="G473" s="15"/>
      <c r="H473" s="16"/>
      <c r="I473" s="17"/>
      <c r="J473" s="12" t="str">
        <f aca="false">IF(H473="","",H473+Summary!$B$4)</f>
        <v/>
      </c>
      <c r="K473" s="17"/>
      <c r="L473" s="16"/>
      <c r="M473" s="13" t="str">
        <f aca="false">IF(I473="","",I473-N(K473))</f>
        <v/>
      </c>
      <c r="N473" s="14" t="str">
        <f aca="true">IF(A473="","",IF(I473="",IF(E473&lt;&gt;"","To invoice","In progress"),IF(M473&lt;=0,"Paid",IF(TODAY()&gt;J473,"Overdue","Awaiting payment"))))</f>
        <v/>
      </c>
    </row>
    <row r="474" customFormat="false" ht="15" hidden="false" customHeight="false" outlineLevel="0" collapsed="false">
      <c r="A474" s="15"/>
      <c r="B474" s="15"/>
      <c r="C474" s="15"/>
      <c r="D474" s="16"/>
      <c r="E474" s="16"/>
      <c r="F474" s="17"/>
      <c r="G474" s="15"/>
      <c r="H474" s="16"/>
      <c r="I474" s="17"/>
      <c r="J474" s="12" t="str">
        <f aca="false">IF(H474="","",H474+Summary!$B$4)</f>
        <v/>
      </c>
      <c r="K474" s="17"/>
      <c r="L474" s="16"/>
      <c r="M474" s="13" t="str">
        <f aca="false">IF(I474="","",I474-N(K474))</f>
        <v/>
      </c>
      <c r="N474" s="14" t="str">
        <f aca="true">IF(A474="","",IF(I474="",IF(E474&lt;&gt;"","To invoice","In progress"),IF(M474&lt;=0,"Paid",IF(TODAY()&gt;J474,"Overdue","Awaiting payment"))))</f>
        <v/>
      </c>
    </row>
    <row r="475" customFormat="false" ht="15" hidden="false" customHeight="false" outlineLevel="0" collapsed="false">
      <c r="A475" s="15"/>
      <c r="B475" s="15"/>
      <c r="C475" s="15"/>
      <c r="D475" s="16"/>
      <c r="E475" s="16"/>
      <c r="F475" s="17"/>
      <c r="G475" s="15"/>
      <c r="H475" s="16"/>
      <c r="I475" s="17"/>
      <c r="J475" s="12" t="str">
        <f aca="false">IF(H475="","",H475+Summary!$B$4)</f>
        <v/>
      </c>
      <c r="K475" s="17"/>
      <c r="L475" s="16"/>
      <c r="M475" s="13" t="str">
        <f aca="false">IF(I475="","",I475-N(K475))</f>
        <v/>
      </c>
      <c r="N475" s="14" t="str">
        <f aca="true">IF(A475="","",IF(I475="",IF(E475&lt;&gt;"","To invoice","In progress"),IF(M475&lt;=0,"Paid",IF(TODAY()&gt;J475,"Overdue","Awaiting payment"))))</f>
        <v/>
      </c>
    </row>
    <row r="476" customFormat="false" ht="15" hidden="false" customHeight="false" outlineLevel="0" collapsed="false">
      <c r="A476" s="15"/>
      <c r="B476" s="15"/>
      <c r="C476" s="15"/>
      <c r="D476" s="16"/>
      <c r="E476" s="16"/>
      <c r="F476" s="17"/>
      <c r="G476" s="15"/>
      <c r="H476" s="16"/>
      <c r="I476" s="17"/>
      <c r="J476" s="12" t="str">
        <f aca="false">IF(H476="","",H476+Summary!$B$4)</f>
        <v/>
      </c>
      <c r="K476" s="17"/>
      <c r="L476" s="16"/>
      <c r="M476" s="13" t="str">
        <f aca="false">IF(I476="","",I476-N(K476))</f>
        <v/>
      </c>
      <c r="N476" s="14" t="str">
        <f aca="true">IF(A476="","",IF(I476="",IF(E476&lt;&gt;"","To invoice","In progress"),IF(M476&lt;=0,"Paid",IF(TODAY()&gt;J476,"Overdue","Awaiting payment"))))</f>
        <v/>
      </c>
    </row>
    <row r="477" customFormat="false" ht="15" hidden="false" customHeight="false" outlineLevel="0" collapsed="false">
      <c r="A477" s="15"/>
      <c r="B477" s="15"/>
      <c r="C477" s="15"/>
      <c r="D477" s="16"/>
      <c r="E477" s="16"/>
      <c r="F477" s="17"/>
      <c r="G477" s="15"/>
      <c r="H477" s="16"/>
      <c r="I477" s="17"/>
      <c r="J477" s="12" t="str">
        <f aca="false">IF(H477="","",H477+Summary!$B$4)</f>
        <v/>
      </c>
      <c r="K477" s="17"/>
      <c r="L477" s="16"/>
      <c r="M477" s="13" t="str">
        <f aca="false">IF(I477="","",I477-N(K477))</f>
        <v/>
      </c>
      <c r="N477" s="14" t="str">
        <f aca="true">IF(A477="","",IF(I477="",IF(E477&lt;&gt;"","To invoice","In progress"),IF(M477&lt;=0,"Paid",IF(TODAY()&gt;J477,"Overdue","Awaiting payment"))))</f>
        <v/>
      </c>
    </row>
    <row r="478" customFormat="false" ht="15" hidden="false" customHeight="false" outlineLevel="0" collapsed="false">
      <c r="A478" s="15"/>
      <c r="B478" s="15"/>
      <c r="C478" s="15"/>
      <c r="D478" s="16"/>
      <c r="E478" s="16"/>
      <c r="F478" s="17"/>
      <c r="G478" s="15"/>
      <c r="H478" s="16"/>
      <c r="I478" s="17"/>
      <c r="J478" s="12" t="str">
        <f aca="false">IF(H478="","",H478+Summary!$B$4)</f>
        <v/>
      </c>
      <c r="K478" s="17"/>
      <c r="L478" s="16"/>
      <c r="M478" s="13" t="str">
        <f aca="false">IF(I478="","",I478-N(K478))</f>
        <v/>
      </c>
      <c r="N478" s="14" t="str">
        <f aca="true">IF(A478="","",IF(I478="",IF(E478&lt;&gt;"","To invoice","In progress"),IF(M478&lt;=0,"Paid",IF(TODAY()&gt;J478,"Overdue","Awaiting payment"))))</f>
        <v/>
      </c>
    </row>
    <row r="479" customFormat="false" ht="15" hidden="false" customHeight="false" outlineLevel="0" collapsed="false">
      <c r="A479" s="15"/>
      <c r="B479" s="15"/>
      <c r="C479" s="15"/>
      <c r="D479" s="16"/>
      <c r="E479" s="16"/>
      <c r="F479" s="17"/>
      <c r="G479" s="15"/>
      <c r="H479" s="16"/>
      <c r="I479" s="17"/>
      <c r="J479" s="12" t="str">
        <f aca="false">IF(H479="","",H479+Summary!$B$4)</f>
        <v/>
      </c>
      <c r="K479" s="17"/>
      <c r="L479" s="16"/>
      <c r="M479" s="13" t="str">
        <f aca="false">IF(I479="","",I479-N(K479))</f>
        <v/>
      </c>
      <c r="N479" s="14" t="str">
        <f aca="true">IF(A479="","",IF(I479="",IF(E479&lt;&gt;"","To invoice","In progress"),IF(M479&lt;=0,"Paid",IF(TODAY()&gt;J479,"Overdue","Awaiting payment"))))</f>
        <v/>
      </c>
    </row>
    <row r="480" customFormat="false" ht="15" hidden="false" customHeight="false" outlineLevel="0" collapsed="false">
      <c r="A480" s="15"/>
      <c r="B480" s="15"/>
      <c r="C480" s="15"/>
      <c r="D480" s="16"/>
      <c r="E480" s="16"/>
      <c r="F480" s="17"/>
      <c r="G480" s="15"/>
      <c r="H480" s="16"/>
      <c r="I480" s="17"/>
      <c r="J480" s="12" t="str">
        <f aca="false">IF(H480="","",H480+Summary!$B$4)</f>
        <v/>
      </c>
      <c r="K480" s="17"/>
      <c r="L480" s="16"/>
      <c r="M480" s="13" t="str">
        <f aca="false">IF(I480="","",I480-N(K480))</f>
        <v/>
      </c>
      <c r="N480" s="14" t="str">
        <f aca="true">IF(A480="","",IF(I480="",IF(E480&lt;&gt;"","To invoice","In progress"),IF(M480&lt;=0,"Paid",IF(TODAY()&gt;J480,"Overdue","Awaiting payment"))))</f>
        <v/>
      </c>
    </row>
    <row r="481" customFormat="false" ht="15" hidden="false" customHeight="false" outlineLevel="0" collapsed="false">
      <c r="A481" s="15"/>
      <c r="B481" s="15"/>
      <c r="C481" s="15"/>
      <c r="D481" s="16"/>
      <c r="E481" s="16"/>
      <c r="F481" s="17"/>
      <c r="G481" s="15"/>
      <c r="H481" s="16"/>
      <c r="I481" s="17"/>
      <c r="J481" s="12" t="str">
        <f aca="false">IF(H481="","",H481+Summary!$B$4)</f>
        <v/>
      </c>
      <c r="K481" s="17"/>
      <c r="L481" s="16"/>
      <c r="M481" s="13" t="str">
        <f aca="false">IF(I481="","",I481-N(K481))</f>
        <v/>
      </c>
      <c r="N481" s="14" t="str">
        <f aca="true">IF(A481="","",IF(I481="",IF(E481&lt;&gt;"","To invoice","In progress"),IF(M481&lt;=0,"Paid",IF(TODAY()&gt;J481,"Overdue","Awaiting payment"))))</f>
        <v/>
      </c>
    </row>
    <row r="482" customFormat="false" ht="15" hidden="false" customHeight="false" outlineLevel="0" collapsed="false">
      <c r="A482" s="15"/>
      <c r="B482" s="15"/>
      <c r="C482" s="15"/>
      <c r="D482" s="16"/>
      <c r="E482" s="16"/>
      <c r="F482" s="17"/>
      <c r="G482" s="15"/>
      <c r="H482" s="16"/>
      <c r="I482" s="17"/>
      <c r="J482" s="12" t="str">
        <f aca="false">IF(H482="","",H482+Summary!$B$4)</f>
        <v/>
      </c>
      <c r="K482" s="17"/>
      <c r="L482" s="16"/>
      <c r="M482" s="13" t="str">
        <f aca="false">IF(I482="","",I482-N(K482))</f>
        <v/>
      </c>
      <c r="N482" s="14" t="str">
        <f aca="true">IF(A482="","",IF(I482="",IF(E482&lt;&gt;"","To invoice","In progress"),IF(M482&lt;=0,"Paid",IF(TODAY()&gt;J482,"Overdue","Awaiting payment"))))</f>
        <v/>
      </c>
    </row>
    <row r="483" customFormat="false" ht="15" hidden="false" customHeight="false" outlineLevel="0" collapsed="false">
      <c r="A483" s="15"/>
      <c r="B483" s="15"/>
      <c r="C483" s="15"/>
      <c r="D483" s="16"/>
      <c r="E483" s="16"/>
      <c r="F483" s="17"/>
      <c r="G483" s="15"/>
      <c r="H483" s="16"/>
      <c r="I483" s="17"/>
      <c r="J483" s="12" t="str">
        <f aca="false">IF(H483="","",H483+Summary!$B$4)</f>
        <v/>
      </c>
      <c r="K483" s="17"/>
      <c r="L483" s="16"/>
      <c r="M483" s="13" t="str">
        <f aca="false">IF(I483="","",I483-N(K483))</f>
        <v/>
      </c>
      <c r="N483" s="14" t="str">
        <f aca="true">IF(A483="","",IF(I483="",IF(E483&lt;&gt;"","To invoice","In progress"),IF(M483&lt;=0,"Paid",IF(TODAY()&gt;J483,"Overdue","Awaiting payment"))))</f>
        <v/>
      </c>
    </row>
    <row r="484" customFormat="false" ht="15" hidden="false" customHeight="false" outlineLevel="0" collapsed="false">
      <c r="A484" s="15"/>
      <c r="B484" s="15"/>
      <c r="C484" s="15"/>
      <c r="D484" s="16"/>
      <c r="E484" s="16"/>
      <c r="F484" s="17"/>
      <c r="G484" s="15"/>
      <c r="H484" s="16"/>
      <c r="I484" s="17"/>
      <c r="J484" s="12" t="str">
        <f aca="false">IF(H484="","",H484+Summary!$B$4)</f>
        <v/>
      </c>
      <c r="K484" s="17"/>
      <c r="L484" s="16"/>
      <c r="M484" s="13" t="str">
        <f aca="false">IF(I484="","",I484-N(K484))</f>
        <v/>
      </c>
      <c r="N484" s="14" t="str">
        <f aca="true">IF(A484="","",IF(I484="",IF(E484&lt;&gt;"","To invoice","In progress"),IF(M484&lt;=0,"Paid",IF(TODAY()&gt;J484,"Overdue","Awaiting payment"))))</f>
        <v/>
      </c>
    </row>
    <row r="485" customFormat="false" ht="15" hidden="false" customHeight="false" outlineLevel="0" collapsed="false">
      <c r="A485" s="15"/>
      <c r="B485" s="15"/>
      <c r="C485" s="15"/>
      <c r="D485" s="16"/>
      <c r="E485" s="16"/>
      <c r="F485" s="17"/>
      <c r="G485" s="15"/>
      <c r="H485" s="16"/>
      <c r="I485" s="17"/>
      <c r="J485" s="12" t="str">
        <f aca="false">IF(H485="","",H485+Summary!$B$4)</f>
        <v/>
      </c>
      <c r="K485" s="17"/>
      <c r="L485" s="16"/>
      <c r="M485" s="13" t="str">
        <f aca="false">IF(I485="","",I485-N(K485))</f>
        <v/>
      </c>
      <c r="N485" s="14" t="str">
        <f aca="true">IF(A485="","",IF(I485="",IF(E485&lt;&gt;"","To invoice","In progress"),IF(M485&lt;=0,"Paid",IF(TODAY()&gt;J485,"Overdue","Awaiting payment"))))</f>
        <v/>
      </c>
    </row>
    <row r="486" customFormat="false" ht="15" hidden="false" customHeight="false" outlineLevel="0" collapsed="false">
      <c r="A486" s="15"/>
      <c r="B486" s="15"/>
      <c r="C486" s="15"/>
      <c r="D486" s="16"/>
      <c r="E486" s="16"/>
      <c r="F486" s="17"/>
      <c r="G486" s="15"/>
      <c r="H486" s="16"/>
      <c r="I486" s="17"/>
      <c r="J486" s="12" t="str">
        <f aca="false">IF(H486="","",H486+Summary!$B$4)</f>
        <v/>
      </c>
      <c r="K486" s="17"/>
      <c r="L486" s="16"/>
      <c r="M486" s="13" t="str">
        <f aca="false">IF(I486="","",I486-N(K486))</f>
        <v/>
      </c>
      <c r="N486" s="14" t="str">
        <f aca="true">IF(A486="","",IF(I486="",IF(E486&lt;&gt;"","To invoice","In progress"),IF(M486&lt;=0,"Paid",IF(TODAY()&gt;J486,"Overdue","Awaiting payment"))))</f>
        <v/>
      </c>
    </row>
    <row r="487" customFormat="false" ht="15" hidden="false" customHeight="false" outlineLevel="0" collapsed="false">
      <c r="A487" s="15"/>
      <c r="B487" s="15"/>
      <c r="C487" s="15"/>
      <c r="D487" s="16"/>
      <c r="E487" s="16"/>
      <c r="F487" s="17"/>
      <c r="G487" s="15"/>
      <c r="H487" s="16"/>
      <c r="I487" s="17"/>
      <c r="J487" s="12" t="str">
        <f aca="false">IF(H487="","",H487+Summary!$B$4)</f>
        <v/>
      </c>
      <c r="K487" s="17"/>
      <c r="L487" s="16"/>
      <c r="M487" s="13" t="str">
        <f aca="false">IF(I487="","",I487-N(K487))</f>
        <v/>
      </c>
      <c r="N487" s="14" t="str">
        <f aca="true">IF(A487="","",IF(I487="",IF(E487&lt;&gt;"","To invoice","In progress"),IF(M487&lt;=0,"Paid",IF(TODAY()&gt;J487,"Overdue","Awaiting payment"))))</f>
        <v/>
      </c>
    </row>
    <row r="488" customFormat="false" ht="15" hidden="false" customHeight="false" outlineLevel="0" collapsed="false">
      <c r="A488" s="15"/>
      <c r="B488" s="15"/>
      <c r="C488" s="15"/>
      <c r="D488" s="16"/>
      <c r="E488" s="16"/>
      <c r="F488" s="17"/>
      <c r="G488" s="15"/>
      <c r="H488" s="16"/>
      <c r="I488" s="17"/>
      <c r="J488" s="12" t="str">
        <f aca="false">IF(H488="","",H488+Summary!$B$4)</f>
        <v/>
      </c>
      <c r="K488" s="17"/>
      <c r="L488" s="16"/>
      <c r="M488" s="13" t="str">
        <f aca="false">IF(I488="","",I488-N(K488))</f>
        <v/>
      </c>
      <c r="N488" s="14" t="str">
        <f aca="true">IF(A488="","",IF(I488="",IF(E488&lt;&gt;"","To invoice","In progress"),IF(M488&lt;=0,"Paid",IF(TODAY()&gt;J488,"Overdue","Awaiting payment"))))</f>
        <v/>
      </c>
    </row>
    <row r="489" customFormat="false" ht="15" hidden="false" customHeight="false" outlineLevel="0" collapsed="false">
      <c r="A489" s="15"/>
      <c r="B489" s="15"/>
      <c r="C489" s="15"/>
      <c r="D489" s="16"/>
      <c r="E489" s="16"/>
      <c r="F489" s="17"/>
      <c r="G489" s="15"/>
      <c r="H489" s="16"/>
      <c r="I489" s="17"/>
      <c r="J489" s="12" t="str">
        <f aca="false">IF(H489="","",H489+Summary!$B$4)</f>
        <v/>
      </c>
      <c r="K489" s="17"/>
      <c r="L489" s="16"/>
      <c r="M489" s="13" t="str">
        <f aca="false">IF(I489="","",I489-N(K489))</f>
        <v/>
      </c>
      <c r="N489" s="14" t="str">
        <f aca="true">IF(A489="","",IF(I489="",IF(E489&lt;&gt;"","To invoice","In progress"),IF(M489&lt;=0,"Paid",IF(TODAY()&gt;J489,"Overdue","Awaiting payment"))))</f>
        <v/>
      </c>
    </row>
    <row r="490" customFormat="false" ht="15" hidden="false" customHeight="false" outlineLevel="0" collapsed="false">
      <c r="A490" s="15"/>
      <c r="B490" s="15"/>
      <c r="C490" s="15"/>
      <c r="D490" s="16"/>
      <c r="E490" s="16"/>
      <c r="F490" s="17"/>
      <c r="G490" s="15"/>
      <c r="H490" s="16"/>
      <c r="I490" s="17"/>
      <c r="J490" s="12" t="str">
        <f aca="false">IF(H490="","",H490+Summary!$B$4)</f>
        <v/>
      </c>
      <c r="K490" s="17"/>
      <c r="L490" s="16"/>
      <c r="M490" s="13" t="str">
        <f aca="false">IF(I490="","",I490-N(K490))</f>
        <v/>
      </c>
      <c r="N490" s="14" t="str">
        <f aca="true">IF(A490="","",IF(I490="",IF(E490&lt;&gt;"","To invoice","In progress"),IF(M490&lt;=0,"Paid",IF(TODAY()&gt;J490,"Overdue","Awaiting payment"))))</f>
        <v/>
      </c>
    </row>
    <row r="491" customFormat="false" ht="15" hidden="false" customHeight="false" outlineLevel="0" collapsed="false">
      <c r="A491" s="15"/>
      <c r="B491" s="15"/>
      <c r="C491" s="15"/>
      <c r="D491" s="16"/>
      <c r="E491" s="16"/>
      <c r="F491" s="17"/>
      <c r="G491" s="15"/>
      <c r="H491" s="16"/>
      <c r="I491" s="17"/>
      <c r="J491" s="12" t="str">
        <f aca="false">IF(H491="","",H491+Summary!$B$4)</f>
        <v/>
      </c>
      <c r="K491" s="17"/>
      <c r="L491" s="16"/>
      <c r="M491" s="13" t="str">
        <f aca="false">IF(I491="","",I491-N(K491))</f>
        <v/>
      </c>
      <c r="N491" s="14" t="str">
        <f aca="true">IF(A491="","",IF(I491="",IF(E491&lt;&gt;"","To invoice","In progress"),IF(M491&lt;=0,"Paid",IF(TODAY()&gt;J491,"Overdue","Awaiting payment"))))</f>
        <v/>
      </c>
    </row>
    <row r="492" customFormat="false" ht="15" hidden="false" customHeight="false" outlineLevel="0" collapsed="false">
      <c r="A492" s="15"/>
      <c r="B492" s="15"/>
      <c r="C492" s="15"/>
      <c r="D492" s="16"/>
      <c r="E492" s="16"/>
      <c r="F492" s="17"/>
      <c r="G492" s="15"/>
      <c r="H492" s="16"/>
      <c r="I492" s="17"/>
      <c r="J492" s="12" t="str">
        <f aca="false">IF(H492="","",H492+Summary!$B$4)</f>
        <v/>
      </c>
      <c r="K492" s="17"/>
      <c r="L492" s="16"/>
      <c r="M492" s="13" t="str">
        <f aca="false">IF(I492="","",I492-N(K492))</f>
        <v/>
      </c>
      <c r="N492" s="14" t="str">
        <f aca="true">IF(A492="","",IF(I492="",IF(E492&lt;&gt;"","To invoice","In progress"),IF(M492&lt;=0,"Paid",IF(TODAY()&gt;J492,"Overdue","Awaiting payment"))))</f>
        <v/>
      </c>
    </row>
    <row r="493" customFormat="false" ht="15" hidden="false" customHeight="false" outlineLevel="0" collapsed="false">
      <c r="A493" s="15"/>
      <c r="B493" s="15"/>
      <c r="C493" s="15"/>
      <c r="D493" s="16"/>
      <c r="E493" s="16"/>
      <c r="F493" s="17"/>
      <c r="G493" s="15"/>
      <c r="H493" s="16"/>
      <c r="I493" s="17"/>
      <c r="J493" s="12" t="str">
        <f aca="false">IF(H493="","",H493+Summary!$B$4)</f>
        <v/>
      </c>
      <c r="K493" s="17"/>
      <c r="L493" s="16"/>
      <c r="M493" s="13" t="str">
        <f aca="false">IF(I493="","",I493-N(K493))</f>
        <v/>
      </c>
      <c r="N493" s="14" t="str">
        <f aca="true">IF(A493="","",IF(I493="",IF(E493&lt;&gt;"","To invoice","In progress"),IF(M493&lt;=0,"Paid",IF(TODAY()&gt;J493,"Overdue","Awaiting payment"))))</f>
        <v/>
      </c>
    </row>
    <row r="494" customFormat="false" ht="15" hidden="false" customHeight="false" outlineLevel="0" collapsed="false">
      <c r="A494" s="15"/>
      <c r="B494" s="15"/>
      <c r="C494" s="15"/>
      <c r="D494" s="16"/>
      <c r="E494" s="16"/>
      <c r="F494" s="17"/>
      <c r="G494" s="15"/>
      <c r="H494" s="16"/>
      <c r="I494" s="17"/>
      <c r="J494" s="12" t="str">
        <f aca="false">IF(H494="","",H494+Summary!$B$4)</f>
        <v/>
      </c>
      <c r="K494" s="17"/>
      <c r="L494" s="16"/>
      <c r="M494" s="13" t="str">
        <f aca="false">IF(I494="","",I494-N(K494))</f>
        <v/>
      </c>
      <c r="N494" s="14" t="str">
        <f aca="true">IF(A494="","",IF(I494="",IF(E494&lt;&gt;"","To invoice","In progress"),IF(M494&lt;=0,"Paid",IF(TODAY()&gt;J494,"Overdue","Awaiting payment"))))</f>
        <v/>
      </c>
    </row>
    <row r="495" customFormat="false" ht="15" hidden="false" customHeight="false" outlineLevel="0" collapsed="false">
      <c r="A495" s="15"/>
      <c r="B495" s="15"/>
      <c r="C495" s="15"/>
      <c r="D495" s="16"/>
      <c r="E495" s="16"/>
      <c r="F495" s="17"/>
      <c r="G495" s="15"/>
      <c r="H495" s="16"/>
      <c r="I495" s="17"/>
      <c r="J495" s="12" t="str">
        <f aca="false">IF(H495="","",H495+Summary!$B$4)</f>
        <v/>
      </c>
      <c r="K495" s="17"/>
      <c r="L495" s="16"/>
      <c r="M495" s="13" t="str">
        <f aca="false">IF(I495="","",I495-N(K495))</f>
        <v/>
      </c>
      <c r="N495" s="14" t="str">
        <f aca="true">IF(A495="","",IF(I495="",IF(E495&lt;&gt;"","To invoice","In progress"),IF(M495&lt;=0,"Paid",IF(TODAY()&gt;J495,"Overdue","Awaiting payment"))))</f>
        <v/>
      </c>
    </row>
    <row r="496" customFormat="false" ht="15" hidden="false" customHeight="false" outlineLevel="0" collapsed="false">
      <c r="A496" s="15"/>
      <c r="B496" s="15"/>
      <c r="C496" s="15"/>
      <c r="D496" s="16"/>
      <c r="E496" s="16"/>
      <c r="F496" s="17"/>
      <c r="G496" s="15"/>
      <c r="H496" s="16"/>
      <c r="I496" s="17"/>
      <c r="J496" s="12" t="str">
        <f aca="false">IF(H496="","",H496+Summary!$B$4)</f>
        <v/>
      </c>
      <c r="K496" s="17"/>
      <c r="L496" s="16"/>
      <c r="M496" s="13" t="str">
        <f aca="false">IF(I496="","",I496-N(K496))</f>
        <v/>
      </c>
      <c r="N496" s="14" t="str">
        <f aca="true">IF(A496="","",IF(I496="",IF(E496&lt;&gt;"","To invoice","In progress"),IF(M496&lt;=0,"Paid",IF(TODAY()&gt;J496,"Overdue","Awaiting payment"))))</f>
        <v/>
      </c>
    </row>
    <row r="497" customFormat="false" ht="15" hidden="false" customHeight="false" outlineLevel="0" collapsed="false">
      <c r="A497" s="15"/>
      <c r="B497" s="15"/>
      <c r="C497" s="15"/>
      <c r="D497" s="16"/>
      <c r="E497" s="16"/>
      <c r="F497" s="17"/>
      <c r="G497" s="15"/>
      <c r="H497" s="16"/>
      <c r="I497" s="17"/>
      <c r="J497" s="12" t="str">
        <f aca="false">IF(H497="","",H497+Summary!$B$4)</f>
        <v/>
      </c>
      <c r="K497" s="17"/>
      <c r="L497" s="16"/>
      <c r="M497" s="13" t="str">
        <f aca="false">IF(I497="","",I497-N(K497))</f>
        <v/>
      </c>
      <c r="N497" s="14" t="str">
        <f aca="true">IF(A497="","",IF(I497="",IF(E497&lt;&gt;"","To invoice","In progress"),IF(M497&lt;=0,"Paid",IF(TODAY()&gt;J497,"Overdue","Awaiting payment"))))</f>
        <v/>
      </c>
    </row>
    <row r="498" customFormat="false" ht="15" hidden="false" customHeight="false" outlineLevel="0" collapsed="false">
      <c r="A498" s="15"/>
      <c r="B498" s="15"/>
      <c r="C498" s="15"/>
      <c r="D498" s="16"/>
      <c r="E498" s="16"/>
      <c r="F498" s="17"/>
      <c r="G498" s="15"/>
      <c r="H498" s="16"/>
      <c r="I498" s="17"/>
      <c r="J498" s="12" t="str">
        <f aca="false">IF(H498="","",H498+Summary!$B$4)</f>
        <v/>
      </c>
      <c r="K498" s="17"/>
      <c r="L498" s="16"/>
      <c r="M498" s="13" t="str">
        <f aca="false">IF(I498="","",I498-N(K498))</f>
        <v/>
      </c>
      <c r="N498" s="14" t="str">
        <f aca="true">IF(A498="","",IF(I498="",IF(E498&lt;&gt;"","To invoice","In progress"),IF(M498&lt;=0,"Paid",IF(TODAY()&gt;J498,"Overdue","Awaiting payment"))))</f>
        <v/>
      </c>
    </row>
    <row r="499" customFormat="false" ht="15" hidden="false" customHeight="false" outlineLevel="0" collapsed="false">
      <c r="A499" s="15"/>
      <c r="B499" s="15"/>
      <c r="C499" s="15"/>
      <c r="D499" s="16"/>
      <c r="E499" s="16"/>
      <c r="F499" s="17"/>
      <c r="G499" s="15"/>
      <c r="H499" s="16"/>
      <c r="I499" s="17"/>
      <c r="J499" s="12" t="str">
        <f aca="false">IF(H499="","",H499+Summary!$B$4)</f>
        <v/>
      </c>
      <c r="K499" s="17"/>
      <c r="L499" s="16"/>
      <c r="M499" s="13" t="str">
        <f aca="false">IF(I499="","",I499-N(K499))</f>
        <v/>
      </c>
      <c r="N499" s="14" t="str">
        <f aca="true">IF(A499="","",IF(I499="",IF(E499&lt;&gt;"","To invoice","In progress"),IF(M499&lt;=0,"Paid",IF(TODAY()&gt;J499,"Overdue","Awaiting payment"))))</f>
        <v/>
      </c>
    </row>
    <row r="500" customFormat="false" ht="15" hidden="false" customHeight="false" outlineLevel="0" collapsed="false">
      <c r="A500" s="15"/>
      <c r="B500" s="15"/>
      <c r="C500" s="15"/>
      <c r="D500" s="16"/>
      <c r="E500" s="16"/>
      <c r="F500" s="17"/>
      <c r="G500" s="15"/>
      <c r="H500" s="16"/>
      <c r="I500" s="17"/>
      <c r="J500" s="12" t="str">
        <f aca="false">IF(H500="","",H500+Summary!$B$4)</f>
        <v/>
      </c>
      <c r="K500" s="17"/>
      <c r="L500" s="16"/>
      <c r="M500" s="13" t="str">
        <f aca="false">IF(I500="","",I500-N(K500))</f>
        <v/>
      </c>
      <c r="N500" s="14" t="str">
        <f aca="true">IF(A500="","",IF(I500="",IF(E500&lt;&gt;"","To invoice","In progress"),IF(M500&lt;=0,"Paid",IF(TODAY()&gt;J500,"Overdue","Awaiting payment"))))</f>
        <v/>
      </c>
    </row>
    <row r="501" customFormat="false" ht="15" hidden="false" customHeight="false" outlineLevel="0" collapsed="false">
      <c r="A501" s="15"/>
      <c r="B501" s="15"/>
      <c r="C501" s="15"/>
      <c r="D501" s="16"/>
      <c r="E501" s="16"/>
      <c r="F501" s="17"/>
      <c r="G501" s="15"/>
      <c r="H501" s="16"/>
      <c r="I501" s="17"/>
      <c r="J501" s="12" t="str">
        <f aca="false">IF(H501="","",H501+Summary!$B$4)</f>
        <v/>
      </c>
      <c r="K501" s="17"/>
      <c r="L501" s="16"/>
      <c r="M501" s="13" t="str">
        <f aca="false">IF(I501="","",I501-N(K501))</f>
        <v/>
      </c>
      <c r="N501" s="14" t="str">
        <f aca="true">IF(A501="","",IF(I501="",IF(E501&lt;&gt;"","To invoice","In progress"),IF(M501&lt;=0,"Paid",IF(TODAY()&gt;J501,"Overdue","Awaiting payment"))))</f>
        <v/>
      </c>
    </row>
    <row r="502" customFormat="false" ht="15" hidden="false" customHeight="false" outlineLevel="0" collapsed="false">
      <c r="A502" s="15"/>
      <c r="B502" s="15"/>
      <c r="C502" s="15"/>
      <c r="D502" s="16"/>
      <c r="E502" s="16"/>
      <c r="F502" s="17"/>
      <c r="G502" s="15"/>
      <c r="H502" s="16"/>
      <c r="I502" s="17"/>
      <c r="J502" s="12" t="str">
        <f aca="false">IF(H502="","",H502+Summary!$B$4)</f>
        <v/>
      </c>
      <c r="K502" s="17"/>
      <c r="L502" s="16"/>
      <c r="M502" s="13" t="str">
        <f aca="false">IF(I502="","",I502-N(K502))</f>
        <v/>
      </c>
      <c r="N502" s="14" t="str">
        <f aca="true">IF(A502="","",IF(I502="",IF(E502&lt;&gt;"","To invoice","In progress"),IF(M502&lt;=0,"Paid",IF(TODAY()&gt;J502,"Overdue","Awaiting payment"))))</f>
        <v/>
      </c>
    </row>
    <row r="503" customFormat="false" ht="15" hidden="false" customHeight="false" outlineLevel="0" collapsed="false">
      <c r="A503" s="15"/>
      <c r="B503" s="15"/>
      <c r="C503" s="15"/>
      <c r="D503" s="16"/>
      <c r="E503" s="16"/>
      <c r="F503" s="17"/>
      <c r="G503" s="15"/>
      <c r="H503" s="16"/>
      <c r="I503" s="17"/>
      <c r="J503" s="12" t="str">
        <f aca="false">IF(H503="","",H503+Summary!$B$4)</f>
        <v/>
      </c>
      <c r="K503" s="17"/>
      <c r="L503" s="16"/>
      <c r="M503" s="13" t="str">
        <f aca="false">IF(I503="","",I503-N(K503))</f>
        <v/>
      </c>
      <c r="N503" s="14" t="str">
        <f aca="true">IF(A503="","",IF(I503="",IF(E503&lt;&gt;"","To invoice","In progress"),IF(M503&lt;=0,"Paid",IF(TODAY()&gt;J503,"Overdue","Awaiting payment"))))</f>
        <v/>
      </c>
    </row>
    <row r="504" customFormat="false" ht="15" hidden="false" customHeight="false" outlineLevel="0" collapsed="false">
      <c r="A504" s="15"/>
      <c r="B504" s="15"/>
      <c r="C504" s="15"/>
      <c r="D504" s="16"/>
      <c r="E504" s="16"/>
      <c r="F504" s="17"/>
      <c r="G504" s="15"/>
      <c r="H504" s="16"/>
      <c r="I504" s="17"/>
      <c r="J504" s="12" t="str">
        <f aca="false">IF(H504="","",H504+Summary!$B$4)</f>
        <v/>
      </c>
      <c r="K504" s="17"/>
      <c r="L504" s="16"/>
      <c r="M504" s="13" t="str">
        <f aca="false">IF(I504="","",I504-N(K504))</f>
        <v/>
      </c>
      <c r="N504" s="14" t="str">
        <f aca="true">IF(A504="","",IF(I504="",IF(E504&lt;&gt;"","To invoice","In progress"),IF(M504&lt;=0,"Paid",IF(TODAY()&gt;J504,"Overdue","Awaiting payment"))))</f>
        <v/>
      </c>
    </row>
  </sheetData>
  <conditionalFormatting sqref="N5:N504">
    <cfRule type="expression" priority="2" aboveAverage="0" equalAverage="0" bottom="0" percent="0" rank="0" text="" dxfId="0">
      <formula>$N5="Overdue"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6"/>
  </cols>
  <sheetData>
    <row r="1" customFormat="false" ht="19.7" hidden="false" customHeight="false" outlineLevel="0" collapsed="false">
      <c r="A1" s="1" t="s">
        <v>34</v>
      </c>
    </row>
    <row r="2" customFormat="false" ht="15" hidden="false" customHeight="false" outlineLevel="0" collapsed="false">
      <c r="A2" s="2" t="s">
        <v>35</v>
      </c>
    </row>
    <row r="4" customFormat="false" ht="15" hidden="false" customHeight="false" outlineLevel="0" collapsed="false">
      <c r="A4" s="18" t="s">
        <v>36</v>
      </c>
      <c r="B4" s="19" t="n">
        <v>14</v>
      </c>
    </row>
    <row r="5" customFormat="false" ht="15" hidden="false" customHeight="false" outlineLevel="0" collapsed="false">
      <c r="A5" s="18" t="s">
        <v>37</v>
      </c>
      <c r="B5" s="19" t="n">
        <v>2026</v>
      </c>
    </row>
    <row r="7" customFormat="false" ht="15" hidden="false" customHeight="false" outlineLevel="0" collapsed="false">
      <c r="A7" s="18" t="s">
        <v>38</v>
      </c>
      <c r="B7" s="13" t="n">
        <f aca="false">SUM(Jobs!I5:I504)</f>
        <v>188</v>
      </c>
    </row>
    <row r="8" customFormat="false" ht="15" hidden="false" customHeight="false" outlineLevel="0" collapsed="false">
      <c r="A8" s="18" t="s">
        <v>39</v>
      </c>
      <c r="B8" s="13" t="n">
        <f aca="false">SUM(Jobs!K5:K504)</f>
        <v>188</v>
      </c>
    </row>
    <row r="9" customFormat="false" ht="15" hidden="false" customHeight="false" outlineLevel="0" collapsed="false">
      <c r="A9" s="20" t="s">
        <v>40</v>
      </c>
      <c r="B9" s="21" t="n">
        <f aca="false">SUMIFS(Jobs!M5:M504,Jobs!N5:N504,"Awaiting payment")+SUMIFS(Jobs!M5:M504,Jobs!N5:N504,"Overdue")</f>
        <v>0</v>
      </c>
    </row>
    <row r="10" customFormat="false" ht="15" hidden="false" customHeight="false" outlineLevel="0" collapsed="false">
      <c r="A10" s="18" t="s">
        <v>41</v>
      </c>
      <c r="B10" s="13" t="n">
        <f aca="false">SUMIFS(Jobs!M5:M504,Jobs!N5:N504,"Overdue")</f>
        <v>0</v>
      </c>
    </row>
    <row r="11" customFormat="false" ht="15" hidden="false" customHeight="false" outlineLevel="0" collapsed="false">
      <c r="A11" s="18" t="s">
        <v>42</v>
      </c>
      <c r="B11" s="22" t="n">
        <f aca="false">COUNTIF(Jobs!N5:N504,"To invoice")</f>
        <v>0</v>
      </c>
    </row>
    <row r="13" customFormat="false" ht="30" hidden="false" customHeight="true" outlineLevel="0" collapsed="false">
      <c r="A13" s="8" t="s">
        <v>43</v>
      </c>
      <c r="B13" s="8" t="s">
        <v>24</v>
      </c>
      <c r="C13" s="8" t="s">
        <v>26</v>
      </c>
    </row>
    <row r="14" customFormat="false" ht="15" hidden="false" customHeight="false" outlineLevel="0" collapsed="false">
      <c r="A14" s="23" t="n">
        <f aca="false">DATE($B$5,1,1)</f>
        <v>46023</v>
      </c>
      <c r="B14" s="13" t="n">
        <f aca="false">SUMIFS(Jobs!$I$5:$I$504,Jobs!$H$5:$H$504,"&gt;="&amp;A14,Jobs!$H$5:$H$504,"&lt;"&amp;EDATE(A14,1))</f>
        <v>0</v>
      </c>
      <c r="C14" s="13" t="n">
        <f aca="false">SUMIFS(Jobs!$K$5:$K$504,Jobs!$L$5:$L$504,"&gt;="&amp;A14,Jobs!$L$5:$L$504,"&lt;"&amp;EDATE(A14,1))</f>
        <v>0</v>
      </c>
    </row>
    <row r="15" customFormat="false" ht="15" hidden="false" customHeight="false" outlineLevel="0" collapsed="false">
      <c r="A15" s="23" t="n">
        <f aca="false">DATE($B$5,2,1)</f>
        <v>46054</v>
      </c>
      <c r="B15" s="13" t="n">
        <f aca="false">SUMIFS(Jobs!$I$5:$I$504,Jobs!$H$5:$H$504,"&gt;="&amp;A15,Jobs!$H$5:$H$504,"&lt;"&amp;EDATE(A15,1))</f>
        <v>0</v>
      </c>
      <c r="C15" s="13" t="n">
        <f aca="false">SUMIFS(Jobs!$K$5:$K$504,Jobs!$L$5:$L$504,"&gt;="&amp;A15,Jobs!$L$5:$L$504,"&lt;"&amp;EDATE(A15,1))</f>
        <v>0</v>
      </c>
    </row>
    <row r="16" customFormat="false" ht="15" hidden="false" customHeight="false" outlineLevel="0" collapsed="false">
      <c r="A16" s="23" t="n">
        <f aca="false">DATE($B$5,3,1)</f>
        <v>46082</v>
      </c>
      <c r="B16" s="13" t="n">
        <f aca="false">SUMIFS(Jobs!$I$5:$I$504,Jobs!$H$5:$H$504,"&gt;="&amp;A16,Jobs!$H$5:$H$504,"&lt;"&amp;EDATE(A16,1))</f>
        <v>0</v>
      </c>
      <c r="C16" s="13" t="n">
        <f aca="false">SUMIFS(Jobs!$K$5:$K$504,Jobs!$L$5:$L$504,"&gt;="&amp;A16,Jobs!$L$5:$L$504,"&lt;"&amp;EDATE(A16,1))</f>
        <v>0</v>
      </c>
    </row>
    <row r="17" customFormat="false" ht="15" hidden="false" customHeight="false" outlineLevel="0" collapsed="false">
      <c r="A17" s="23" t="n">
        <f aca="false">DATE($B$5,4,1)</f>
        <v>46113</v>
      </c>
      <c r="B17" s="13" t="n">
        <f aca="false">SUMIFS(Jobs!$I$5:$I$504,Jobs!$H$5:$H$504,"&gt;="&amp;A17,Jobs!$H$5:$H$504,"&lt;"&amp;EDATE(A17,1))</f>
        <v>0</v>
      </c>
      <c r="C17" s="13" t="n">
        <f aca="false">SUMIFS(Jobs!$K$5:$K$504,Jobs!$L$5:$L$504,"&gt;="&amp;A17,Jobs!$L$5:$L$504,"&lt;"&amp;EDATE(A17,1))</f>
        <v>0</v>
      </c>
    </row>
    <row r="18" customFormat="false" ht="15" hidden="false" customHeight="false" outlineLevel="0" collapsed="false">
      <c r="A18" s="23" t="n">
        <f aca="false">DATE($B$5,5,1)</f>
        <v>46143</v>
      </c>
      <c r="B18" s="13" t="n">
        <f aca="false">SUMIFS(Jobs!$I$5:$I$504,Jobs!$H$5:$H$504,"&gt;="&amp;A18,Jobs!$H$5:$H$504,"&lt;"&amp;EDATE(A18,1))</f>
        <v>0</v>
      </c>
      <c r="C18" s="13" t="n">
        <f aca="false">SUMIFS(Jobs!$K$5:$K$504,Jobs!$L$5:$L$504,"&gt;="&amp;A18,Jobs!$L$5:$L$504,"&lt;"&amp;EDATE(A18,1))</f>
        <v>0</v>
      </c>
    </row>
    <row r="19" customFormat="false" ht="15" hidden="false" customHeight="false" outlineLevel="0" collapsed="false">
      <c r="A19" s="23" t="n">
        <f aca="false">DATE($B$5,6,1)</f>
        <v>46174</v>
      </c>
      <c r="B19" s="13" t="n">
        <f aca="false">SUMIFS(Jobs!$I$5:$I$504,Jobs!$H$5:$H$504,"&gt;="&amp;A19,Jobs!$H$5:$H$504,"&lt;"&amp;EDATE(A19,1))</f>
        <v>0</v>
      </c>
      <c r="C19" s="13" t="n">
        <f aca="false">SUMIFS(Jobs!$K$5:$K$504,Jobs!$L$5:$L$504,"&gt;="&amp;A19,Jobs!$L$5:$L$504,"&lt;"&amp;EDATE(A19,1))</f>
        <v>0</v>
      </c>
    </row>
    <row r="20" customFormat="false" ht="15" hidden="false" customHeight="false" outlineLevel="0" collapsed="false">
      <c r="A20" s="23" t="n">
        <f aca="false">DATE($B$5,7,1)</f>
        <v>46204</v>
      </c>
      <c r="B20" s="13" t="n">
        <f aca="false">SUMIFS(Jobs!$I$5:$I$504,Jobs!$H$5:$H$504,"&gt;="&amp;A20,Jobs!$H$5:$H$504,"&lt;"&amp;EDATE(A20,1))</f>
        <v>0</v>
      </c>
      <c r="C20" s="13" t="n">
        <f aca="false">SUMIFS(Jobs!$K$5:$K$504,Jobs!$L$5:$L$504,"&gt;="&amp;A20,Jobs!$L$5:$L$504,"&lt;"&amp;EDATE(A20,1))</f>
        <v>0</v>
      </c>
    </row>
    <row r="21" customFormat="false" ht="15" hidden="false" customHeight="false" outlineLevel="0" collapsed="false">
      <c r="A21" s="23" t="n">
        <f aca="false">DATE($B$5,8,1)</f>
        <v>46235</v>
      </c>
      <c r="B21" s="13" t="n">
        <f aca="false">SUMIFS(Jobs!$I$5:$I$504,Jobs!$H$5:$H$504,"&gt;="&amp;A21,Jobs!$H$5:$H$504,"&lt;"&amp;EDATE(A21,1))</f>
        <v>0</v>
      </c>
      <c r="C21" s="13" t="n">
        <f aca="false">SUMIFS(Jobs!$K$5:$K$504,Jobs!$L$5:$L$504,"&gt;="&amp;A21,Jobs!$L$5:$L$504,"&lt;"&amp;EDATE(A21,1))</f>
        <v>0</v>
      </c>
    </row>
    <row r="22" customFormat="false" ht="15" hidden="false" customHeight="false" outlineLevel="0" collapsed="false">
      <c r="A22" s="23" t="n">
        <f aca="false">DATE($B$5,9,1)</f>
        <v>46266</v>
      </c>
      <c r="B22" s="13" t="n">
        <f aca="false">SUMIFS(Jobs!$I$5:$I$504,Jobs!$H$5:$H$504,"&gt;="&amp;A22,Jobs!$H$5:$H$504,"&lt;"&amp;EDATE(A22,1))</f>
        <v>0</v>
      </c>
      <c r="C22" s="13" t="n">
        <f aca="false">SUMIFS(Jobs!$K$5:$K$504,Jobs!$L$5:$L$504,"&gt;="&amp;A22,Jobs!$L$5:$L$504,"&lt;"&amp;EDATE(A22,1))</f>
        <v>0</v>
      </c>
    </row>
    <row r="23" customFormat="false" ht="15" hidden="false" customHeight="false" outlineLevel="0" collapsed="false">
      <c r="A23" s="23" t="n">
        <f aca="false">DATE($B$5,10,1)</f>
        <v>46296</v>
      </c>
      <c r="B23" s="13" t="n">
        <f aca="false">SUMIFS(Jobs!$I$5:$I$504,Jobs!$H$5:$H$504,"&gt;="&amp;A23,Jobs!$H$5:$H$504,"&lt;"&amp;EDATE(A23,1))</f>
        <v>188</v>
      </c>
      <c r="C23" s="13" t="n">
        <f aca="false">SUMIFS(Jobs!$K$5:$K$504,Jobs!$L$5:$L$504,"&gt;="&amp;A23,Jobs!$L$5:$L$504,"&lt;"&amp;EDATE(A23,1))</f>
        <v>188</v>
      </c>
    </row>
    <row r="24" customFormat="false" ht="15" hidden="false" customHeight="false" outlineLevel="0" collapsed="false">
      <c r="A24" s="23" t="n">
        <f aca="false">DATE($B$5,11,1)</f>
        <v>46327</v>
      </c>
      <c r="B24" s="13" t="n">
        <f aca="false">SUMIFS(Jobs!$I$5:$I$504,Jobs!$H$5:$H$504,"&gt;="&amp;A24,Jobs!$H$5:$H$504,"&lt;"&amp;EDATE(A24,1))</f>
        <v>0</v>
      </c>
      <c r="C24" s="13" t="n">
        <f aca="false">SUMIFS(Jobs!$K$5:$K$504,Jobs!$L$5:$L$504,"&gt;="&amp;A24,Jobs!$L$5:$L$504,"&lt;"&amp;EDATE(A24,1))</f>
        <v>0</v>
      </c>
    </row>
    <row r="25" customFormat="false" ht="15" hidden="false" customHeight="false" outlineLevel="0" collapsed="false">
      <c r="A25" s="23" t="n">
        <f aca="false">DATE($B$5,12,1)</f>
        <v>46357</v>
      </c>
      <c r="B25" s="13" t="n">
        <f aca="false">SUMIFS(Jobs!$I$5:$I$504,Jobs!$H$5:$H$504,"&gt;="&amp;A25,Jobs!$H$5:$H$504,"&lt;"&amp;EDATE(A25,1))</f>
        <v>0</v>
      </c>
      <c r="C25" s="13" t="n">
        <f aca="false">SUMIFS(Jobs!$K$5:$K$504,Jobs!$L$5:$L$504,"&gt;="&amp;A25,Jobs!$L$5:$L$504,"&lt;"&amp;EDATE(A25,1))</f>
        <v>0</v>
      </c>
    </row>
    <row r="26" customFormat="false" ht="15" hidden="false" customHeight="false" outlineLevel="0" collapsed="false">
      <c r="A26" s="20" t="s">
        <v>44</v>
      </c>
      <c r="B26" s="21" t="n">
        <f aca="false">SUM(B14:B25)</f>
        <v>188</v>
      </c>
      <c r="C26" s="21" t="n">
        <f aca="false">SUM(C14:C25)</f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2026-10-11T20:14:53Z</dcterms:created>
  <dc:creator>openpyxl</dc:creator>
  <dc:description/>
  <dc:language>en-US</dc:language>
  <cp:lastModifiedBy/>
  <dcterms:modified xsi:type="dcterms:W3CDTF">2026-10-11T20:14:53Z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